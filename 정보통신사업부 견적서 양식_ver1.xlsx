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854" firstSheet="1" activeTab="1" autoFilterDateGrouping="1"/>
  </bookViews>
  <sheets>
    <sheet xmlns:r="http://schemas.openxmlformats.org/officeDocument/2006/relationships" name="VXXXXX" sheetId="1" state="veryHidden" r:id="rId1"/>
    <sheet xmlns:r="http://schemas.openxmlformats.org/officeDocument/2006/relationships" name="표지" sheetId="2" state="visible" r:id="rId2"/>
    <sheet xmlns:r="http://schemas.openxmlformats.org/officeDocument/2006/relationships" name="1. 견적서" sheetId="3" state="visible" r:id="rId3"/>
    <sheet xmlns:r="http://schemas.openxmlformats.org/officeDocument/2006/relationships" name="2.1 성능점검 산출내역" sheetId="4" state="visible" r:id="rId4"/>
    <sheet xmlns:r="http://schemas.openxmlformats.org/officeDocument/2006/relationships" name="2.2 유지점검 산출내역" sheetId="5" state="visible" r:id="rId5"/>
    <sheet xmlns:r="http://schemas.openxmlformats.org/officeDocument/2006/relationships" name="2.3 선임 산출내역" sheetId="6" state="visible" r:id="rId6"/>
    <sheet xmlns:r="http://schemas.openxmlformats.org/officeDocument/2006/relationships" name="3. 업무처리 절차" sheetId="7" state="visible" r:id="rId7"/>
    <sheet xmlns:r="http://schemas.openxmlformats.org/officeDocument/2006/relationships" name="Sheet1" sheetId="8" state="hidden" r:id="rId8"/>
    <sheet xmlns:r="http://schemas.openxmlformats.org/officeDocument/2006/relationships" name="Sheet2" sheetId="9" state="hidden" r:id="rId9"/>
    <sheet xmlns:r="http://schemas.openxmlformats.org/officeDocument/2006/relationships" name="Sheet3" sheetId="10" state="hidden" r:id="rId10"/>
    <sheet xmlns:r="http://schemas.openxmlformats.org/officeDocument/2006/relationships" name="26'1월견적표" sheetId="11" state="hidden" r:id="rId11"/>
    <sheet xmlns:r="http://schemas.openxmlformats.org/officeDocument/2006/relationships" name="26'1월계약진행" sheetId="12" state="hidden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</externalReferences>
  <definedNames>
    <definedName name="__123Graph_D" hidden="1">[1]FAB별!#REF!</definedName>
    <definedName name="a">'[2]단가 및 재료비'!$AA$72</definedName>
    <definedName name="b">'[2]단가 및 재료비'!$S$170</definedName>
    <definedName name="_xlnm.Database">#REF!</definedName>
    <definedName name="KKK" hidden="1">{#N/A,#N/A,FALSE,"포장단가"}</definedName>
    <definedName name="p">#REF!</definedName>
    <definedName name="PA">#REF!</definedName>
    <definedName name="PB">#REF!</definedName>
    <definedName name="PC">#REF!</definedName>
    <definedName name="PD">#REF!</definedName>
    <definedName name="_xlnm.Recorder">#REF!</definedName>
    <definedName name="wrn.포장단가." hidden="1">{#N/A,#N/A,FALSE,"포장단가"}</definedName>
    <definedName name="각재">'[3]단가 및 재료비'!$S$171</definedName>
    <definedName name="견적서">#REF!</definedName>
    <definedName name="계약보증금납부서">#REF!</definedName>
    <definedName name="계약서">#REF!</definedName>
    <definedName name="공사원가">#REF!</definedName>
    <definedName name="공정표">#REF!</definedName>
    <definedName name="규____격">#REF!</definedName>
    <definedName name="내역서표지">#REF!</definedName>
    <definedName name="내역표지">#REF!</definedName>
    <definedName name="단_위">#REF!</definedName>
    <definedName name="대형브레이카0.4경비">[3]중기사용료산출근거!$G$20</definedName>
    <definedName name="대형브레이카0.4노무비">[3]중기사용료산출근거!$G$24</definedName>
    <definedName name="대형브레이카0.4재료비">[3]중기사용료산출근거!$G$28</definedName>
    <definedName name="ㄹ">#REF!</definedName>
    <definedName name="ㄹㅇㄴㅁㄹㅇ" hidden="1">{#N/A,#N/A,FALSE,"포장단가"}</definedName>
    <definedName name="ㄹㅇㄴㅇㄹㅇㄴㄹ" hidden="1">{#N/A,#N/A,FALSE,"포장단가"}</definedName>
    <definedName name="라인마아카10경비">[3]중기사용료산출근거!$G$95</definedName>
    <definedName name="라인마아카10노무비">[3]중기사용료산출근거!$G$99</definedName>
    <definedName name="라인마아카10재료비">[3]중기사용료산출근거!$G$103</definedName>
    <definedName name="ㅁ754">#REF!</definedName>
    <definedName name="못">'[3]단가 및 재료비'!$S$173</definedName>
    <definedName name="물탱크5500경비">[3]중기사용료산출근거!$G$155</definedName>
    <definedName name="물탱크5500노무비">[3]중기사용료산출근거!$G$159</definedName>
    <definedName name="물탱크5500재료비">[3]중기사용료산출근거!$G$163</definedName>
    <definedName name="법원원천사">#REF!</definedName>
    <definedName name="보통인부">'[3]단가 및 재료비'!$AA$91</definedName>
    <definedName name="비_고">#REF!</definedName>
    <definedName name="사용인감">#REF!</definedName>
    <definedName name="사용인감계">#REF!</definedName>
    <definedName name="산__출__근__거">#REF!</definedName>
    <definedName name="설계표지">#REF!</definedName>
    <definedName name="수_량">#REF!</definedName>
    <definedName name="수량산출타이틀">#REF!</definedName>
    <definedName name="수량산출행">#REF!</definedName>
    <definedName name="유리알버드">'[3]단가 및 재료비'!$S$143</definedName>
    <definedName name="유압식백호우0.4경비">[3]중기사용료산출근거!$G$215</definedName>
    <definedName name="유압식백호우0.4노무비">[3]중기사용료산출근거!$G$219</definedName>
    <definedName name="유압식백호우0.4재료비">[3]중기사용료산출근거!$G$223</definedName>
    <definedName name="융착성도료청색">'[3]단가 및 재료비'!$S$215</definedName>
    <definedName name="준공계">#REF!</definedName>
    <definedName name="중유">'[3]단가 및 재료비'!$U$34</definedName>
    <definedName name="진동로울러자주식4.4경비">[3]중기사용료산출근거!#REF!</definedName>
    <definedName name="진동로울러자주식4.4노무비">[3]중기사용료산출근거!#REF!</definedName>
    <definedName name="진동로울러자주식4.4재료비">[3]중기사용료산출근거!#REF!</definedName>
    <definedName name="철선">'[3]단가 및 재료비'!$S$172</definedName>
    <definedName name="치즐">'[3]단가 및 재료비'!$U$39</definedName>
    <definedName name="콘크리트캇타320경비">[3]중기사용료산출근거!$G$245</definedName>
    <definedName name="콘크리트캇타320노무비">[3]중기사용료산출근거!$G$249</definedName>
    <definedName name="콘크리트캇타320재료비">[3]중기사용료산출근거!$G$253</definedName>
    <definedName name="터파기기계0.4경비">#REF!</definedName>
    <definedName name="터파기기계0.4노무비">#REF!</definedName>
    <definedName name="터파기기계0.4재료비">#REF!</definedName>
    <definedName name="특별인부">'[3]단가 및 재료비'!$AA$90</definedName>
    <definedName name="포설공">'[3]단가 및 재료비'!$AA$72</definedName>
    <definedName name="품_____명">#REF!</definedName>
    <definedName name="프라이드">'[3]단가 및 재료비'!$S$144</definedName>
    <definedName name="프로판가스">'[3]단가 및 재료비'!$S$145</definedName>
    <definedName name="하수암거" hidden="1">{#N/A,#N/A,FALSE,"포장단가"}</definedName>
    <definedName name="합판">'[3]단가 및 재료비'!$S$170</definedName>
    <definedName name="형틀목공">'[3]단가 및 재료비'!$AA$51</definedName>
    <definedName name="KKK" localSheetId="1" hidden="1">{#N/A,#N/A,FALSE,"포장단가"}</definedName>
    <definedName name="wrn.포장단가." localSheetId="1" hidden="1">{#N/A,#N/A,FALSE,"포장단가"}</definedName>
    <definedName name="하수암거" localSheetId="1" hidden="1">{#N/A,#N/A,FALSE,"포장단가"}</definedName>
    <definedName name="_xlnm.Print_Area" localSheetId="1">'표지'!$A$1:$J$28</definedName>
    <definedName name="_xlnm.Print_Area" localSheetId="2">'1. 견적서'!$A$1:$AB$36</definedName>
    <definedName name="_xlnm.Print_Area" localSheetId="3">'2.1 성능점검 산출내역'!$A$1:$J$36</definedName>
    <definedName name="_xlnm.Print_Area" localSheetId="4">'2.2 유지점검 산출내역'!$A$1:$J$36</definedName>
    <definedName name="_xlnm.Print_Area" localSheetId="5">'2.3 선임 산출내역'!$A$1:$J$36</definedName>
    <definedName name="_xlnm.Print_Area" localSheetId="6">'3. 업무처리 절차'!$A$1:$Y$40</definedName>
  </definedNames>
  <calcPr calcId="191029" fullCalcOnLoad="1"/>
</workbook>
</file>

<file path=xl/styles.xml><?xml version="1.0" encoding="utf-8"?>
<styleSheet xmlns="http://schemas.openxmlformats.org/spreadsheetml/2006/main">
  <numFmts count="57">
    <numFmt numFmtId="164" formatCode="_-* #,##0_-;\-* #,##0_-;_-* &quot;-&quot;_-;_-@_-"/>
    <numFmt numFmtId="165" formatCode="0.0%"/>
    <numFmt numFmtId="166" formatCode="#,##0_);[Red]\(#,##0\)"/>
    <numFmt numFmtId="167" formatCode="[DBNum4][$-412]General"/>
    <numFmt numFmtId="168" formatCode="yyyy&quot;년&quot;\ m&quot;월&quot;\ d&quot;일&quot;;@"/>
    <numFmt numFmtId="169" formatCode="#,##0_ "/>
    <numFmt numFmtId="170" formatCode="_-* #,##0.00_-;\-* #,##0.00_-;_-* &quot;-&quot;_-;_-@_-"/>
    <numFmt numFmtId="171" formatCode="#,###\ &quot;m3&quot;"/>
    <numFmt numFmtId="172" formatCode="_ * #,##0_ ;_ * &quot;₩&quot;&quot;₩&quot;&quot;₩&quot;&quot;₩&quot;&quot;₩&quot;&quot;₩&quot;\-#,##0_ ;_ * &quot;-&quot;_ ;_ @_ "/>
    <numFmt numFmtId="173" formatCode="_ * #,##0_ ;_ * \-#,##0_ ;_ * &quot;-&quot;_ ;_ @_ "/>
    <numFmt numFmtId="174" formatCode="0.000"/>
    <numFmt numFmtId="175" formatCode="&quot;₩&quot;\ \ #,##0\ &quot;원정&quot;;\-&quot;₩&quot;#,##0"/>
    <numFmt numFmtId="176" formatCode="#,##0.00_);[Red]\(#,##0.00\)"/>
    <numFmt numFmtId="177" formatCode="0.000000"/>
    <numFmt numFmtId="178" formatCode="#,##0;[Red]&quot;-&quot;#,##0"/>
    <numFmt numFmtId="179" formatCode="#,##0.00;[Red]&quot;-&quot;#,##0.00"/>
    <numFmt numFmtId="180" formatCode="_ &quot;₩&quot;* #,##0_ ;_ &quot;₩&quot;* \-#,##0_ ;_ &quot;₩&quot;* &quot;-&quot;_ ;_ @_ "/>
    <numFmt numFmtId="181" formatCode="_ &quot;₩&quot;* #,##0.00_ ;_ &quot;₩&quot;* \-#,##0.00_ ;_ &quot;₩&quot;* &quot;-&quot;??_ ;_ @_ "/>
    <numFmt numFmtId="182" formatCode="&quot;₩&quot;#,##0;[Red]&quot;₩&quot;\-#,##0"/>
    <numFmt numFmtId="183" formatCode="_ * #,##0.00_ ;_ * \-#,##0.00_ ;_ * &quot;-&quot;??_ ;_ @_ "/>
    <numFmt numFmtId="184" formatCode="&quot;$&quot;#,##0.00;\-&quot;$&quot;#,##0.00"/>
    <numFmt numFmtId="185" formatCode="_(&quot;$&quot;* #,##0.00_);_(&quot;$&quot;* &quot;₩&quot;&quot;₩&quot;&quot;₩&quot;&quot;₩&quot;&quot;₩&quot;\(#,##0.00&quot;₩&quot;&quot;₩&quot;&quot;₩&quot;&quot;₩&quot;&quot;₩&quot;\);_(&quot;$&quot;* &quot;-&quot;??_);_(@_)"/>
    <numFmt numFmtId="186" formatCode="0.00_)"/>
    <numFmt numFmtId="187" formatCode="\$#.00"/>
    <numFmt numFmtId="188" formatCode="0%;[Red]\ \ &quot;-&quot;0%"/>
    <numFmt numFmtId="189" formatCode="&quot;₩&quot;#,##0.00;&quot;₩&quot;&quot;₩&quot;\-#,##0.00"/>
    <numFmt numFmtId="190" formatCode="m\o\n\th\ d\,\ yyyy"/>
    <numFmt numFmtId="191" formatCode="#,##0.000;[Red]&quot;-&quot;#,##0.000"/>
    <numFmt numFmtId="192" formatCode="_-&quot;?* #,##0.00_-;&quot;\&quot;&quot;₩&quot;&quot;₩&quot;&quot;₩&quot;\-&quot;?* #,##0.00_-;_-&quot;&quot;?&quot;* &quot;-&quot;??_-;_-@_-"/>
    <numFmt numFmtId="193" formatCode="#.00"/>
    <numFmt numFmtId="194" formatCode="#.#"/>
    <numFmt numFmtId="195" formatCode="#."/>
    <numFmt numFmtId="196" formatCode="#.##"/>
    <numFmt numFmtId="197" formatCode="General_)"/>
    <numFmt numFmtId="198" formatCode="&quot;₩&quot;#,##0;[Red]&quot;₩&quot;&quot;₩&quot;\!\-#,##0"/>
    <numFmt numFmtId="199" formatCode="#,##0&quot; $&quot;;\-#,##0&quot; $&quot;"/>
    <numFmt numFmtId="200" formatCode="%#.00"/>
    <numFmt numFmtId="201" formatCode="#,##0.0;[Red]&quot;-&quot;#,##0.0"/>
    <numFmt numFmtId="202" formatCode="#,###.0"/>
    <numFmt numFmtId="203" formatCode="0.0_)"/>
    <numFmt numFmtId="204" formatCode="\(&quot;₩&quot;#,##0\);[Red]\(\-&quot;₩&quot;#,##0\)"/>
    <numFmt numFmtId="205" formatCode="\(&quot;₩&quot;#,##0\);[Red]\(&quot;△&quot;&quot;₩&quot;#,##0\)"/>
    <numFmt numFmtId="206" formatCode="@\ &quot;주임&quot;"/>
    <numFmt numFmtId="207" formatCode="#,##0&quot;칸&quot;"/>
    <numFmt numFmtId="208" formatCode="&quot;₩&quot;#,##0;&quot;₩&quot;&quot;₩&quot;&quot;₩&quot;&quot;₩&quot;&quot;₩&quot;&quot;₩&quot;&quot;₩&quot;&quot;₩&quot;\-#,##0"/>
    <numFmt numFmtId="209" formatCode="_ * #,##0.00_ ;_ * &quot;₩&quot;&quot;₩&quot;&quot;₩&quot;&quot;₩&quot;&quot;₩&quot;&quot;₩&quot;&quot;₩&quot;&quot;₩&quot;&quot;₩&quot;&quot;₩&quot;\-#,##0.00_ ;_ * &quot;-&quot;??_ ;_ @_ "/>
    <numFmt numFmtId="210" formatCode="#,##0;&quot;-&quot;#,##0"/>
    <numFmt numFmtId="211" formatCode="000.000"/>
    <numFmt numFmtId="212" formatCode="_ * #,##0.0000_ ;_ * \-#,##0.0000_ ;_ * &quot;-&quot;_ ;_ @_ "/>
    <numFmt numFmtId="213" formatCode="000\-000"/>
    <numFmt numFmtId="214" formatCode="0.00_ "/>
    <numFmt numFmtId="215" formatCode="#,##0\ ;[Red]&quot;-&quot;#,##0\ "/>
    <numFmt numFmtId="216" formatCode="* #,##0\ ;[Red]* &quot;-&quot;#,##0\ "/>
    <numFmt numFmtId="217" formatCode="#,##0.####;[Red]&quot;-&quot;#,##0.####"/>
    <numFmt numFmtId="218" formatCode="#,##0.0###\ ;[Red]&quot;-&quot;#,##0.0###\ "/>
    <numFmt numFmtId="219" formatCode="&quot;₩&quot;#,##0.00\ ;\(&quot;₩&quot;#,##0.00\)"/>
    <numFmt numFmtId="220" formatCode="&quot;₩&quot;#,##0;&quot;₩&quot;\-#,##0"/>
  </numFmts>
  <fonts count="172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Times New Roman"/>
      <family val="1"/>
      <sz val="10"/>
    </font>
    <font>
      <name val="돋움"/>
      <charset val="129"/>
      <family val="3"/>
      <sz val="11"/>
    </font>
    <font>
      <name val="돋움"/>
      <charset val="129"/>
      <family val="3"/>
      <color indexed="8"/>
      <sz val="11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Helv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family val="2"/>
      <b val="1"/>
      <sz val="11"/>
    </font>
    <font>
      <name val="바탕체"/>
      <charset val="129"/>
      <family val="1"/>
      <sz val="10"/>
    </font>
    <font>
      <name val="MS Sans Serif"/>
      <family val="2"/>
      <sz val="10"/>
    </font>
    <font>
      <name val="굴림체"/>
      <charset val="129"/>
      <family val="3"/>
      <sz val="10"/>
    </font>
    <font>
      <name val="Times New Roman"/>
      <family val="1"/>
      <sz val="12"/>
    </font>
    <font>
      <name val="Courier New"/>
      <family val="3"/>
      <sz val="10"/>
    </font>
    <font>
      <name val="굴림체"/>
      <charset val="129"/>
      <family val="3"/>
      <sz val="11"/>
    </font>
    <font>
      <name val="굴림체"/>
      <charset val="129"/>
      <family val="3"/>
      <sz val="12"/>
    </font>
    <font>
      <name val="견명조"/>
      <charset val="129"/>
      <family val="1"/>
      <sz val="12"/>
    </font>
    <font>
      <name val="Arial"/>
      <family val="2"/>
      <sz val="12"/>
    </font>
    <font>
      <name val="굴림체"/>
      <charset val="129"/>
      <family val="3"/>
      <sz val="9"/>
    </font>
    <font>
      <name val="¹UAAA¼"/>
      <family val="3"/>
      <sz val="12"/>
    </font>
    <font>
      <name val="¹ÙÅÁÃ¼"/>
      <family val="1"/>
      <sz val="12"/>
    </font>
    <font>
      <name val="Tms Rmn"/>
      <family val="1"/>
      <sz val="12"/>
    </font>
    <font>
      <name val="¹UAAA¼"/>
      <family val="1"/>
      <sz val="8"/>
    </font>
    <font>
      <name val="한양중고딕"/>
      <charset val="129"/>
      <family val="1"/>
      <sz val="10"/>
    </font>
    <font>
      <name val="Courier"/>
      <family val="3"/>
      <color indexed="8"/>
      <sz val="1"/>
    </font>
    <font>
      <name val="MS Serif"/>
      <family val="1"/>
      <sz val="10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MS Sans Serif"/>
      <family val="2"/>
      <color indexed="14"/>
      <sz val="10"/>
      <u val="single"/>
    </font>
    <font>
      <name val="Courier"/>
      <family val="3"/>
      <b val="1"/>
      <color indexed="8"/>
      <sz val="1"/>
    </font>
    <font>
      <name val="MS Sans Serif"/>
      <family val="2"/>
      <color indexed="12"/>
      <sz val="10"/>
      <u val="single"/>
    </font>
    <font>
      <name val="Times New Roman"/>
      <family val="1"/>
      <color indexed="12"/>
      <sz val="8"/>
      <u val="single"/>
    </font>
    <font>
      <name val="Times New Roman"/>
      <family val="1"/>
      <b val="1"/>
      <i val="1"/>
      <sz val="12"/>
    </font>
    <font>
      <name val="Small Fonts"/>
      <family val="2"/>
      <sz val="7"/>
    </font>
    <font>
      <name val="Helv"/>
      <family val="2"/>
      <sz val="12"/>
    </font>
    <font>
      <name val="Helv"/>
      <family val="2"/>
      <sz val="8"/>
    </font>
    <font>
      <name val="Helv"/>
      <family val="2"/>
      <b val="1"/>
      <color indexed="8"/>
      <sz val="8"/>
    </font>
    <font>
      <name val="Times New Roman"/>
      <family val="1"/>
      <b val="1"/>
      <i val="1"/>
      <sz val="9"/>
    </font>
    <font>
      <name val="굴림체"/>
      <charset val="129"/>
      <family val="3"/>
      <b val="1"/>
      <sz val="13"/>
      <u val="single"/>
    </font>
    <font>
      <name val="바탕체"/>
      <charset val="129"/>
      <family val="1"/>
      <sz val="8"/>
    </font>
    <font>
      <name val="Courier"/>
      <family val="3"/>
      <i val="1"/>
      <outline val="1"/>
      <shadow val="1"/>
      <color indexed="24"/>
      <sz val="1"/>
      <u val="single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돋움"/>
      <charset val="129"/>
      <family val="3"/>
      <sz val="10"/>
    </font>
    <font>
      <name val="명조"/>
      <charset val="129"/>
      <family val="3"/>
      <sz val="12"/>
    </font>
    <font>
      <name val="굴림"/>
      <charset val="129"/>
      <family val="3"/>
      <b val="1"/>
      <sz val="12"/>
    </font>
    <font>
      <name val="돋움체"/>
      <charset val="129"/>
      <family val="3"/>
      <sz val="10"/>
    </font>
    <font>
      <name val="Courier"/>
      <family val="3"/>
      <color indexed="0"/>
      <sz val="1"/>
    </font>
    <font>
      <name val="뼻뮝"/>
      <charset val="129"/>
      <family val="3"/>
      <sz val="11"/>
    </font>
    <font>
      <name val="바탕체"/>
      <charset val="129"/>
      <family val="1"/>
      <sz val="11"/>
    </font>
    <font>
      <name val="궁서체"/>
      <charset val="129"/>
      <family val="1"/>
      <sz val="12"/>
    </font>
    <font>
      <name val="궁서체"/>
      <charset val="129"/>
      <family val="1"/>
      <sz val="18"/>
    </font>
    <font>
      <name val="돋움체"/>
      <charset val="129"/>
      <family val="3"/>
      <sz val="8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궁서(English)"/>
      <charset val="129"/>
      <family val="3"/>
      <sz val="10"/>
    </font>
    <font>
      <name val="굴림체"/>
      <charset val="129"/>
      <family val="3"/>
      <color indexed="12"/>
      <sz val="10"/>
    </font>
    <font>
      <name val="*세고딕"/>
      <charset val="129"/>
      <family val="3"/>
      <color indexed="17"/>
      <sz val="12"/>
    </font>
    <font>
      <name val="굴림"/>
      <charset val="129"/>
      <family val="3"/>
      <sz val="10"/>
    </font>
    <font>
      <name val="맑은 고딕"/>
      <charset val="129"/>
      <family val="3"/>
      <sz val="8"/>
    </font>
    <font>
      <name val="¹UAAA¼"/>
      <family val="3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돋움"/>
      <charset val="129"/>
      <family val="3"/>
      <color indexed="36"/>
      <sz val="8.25"/>
      <u val="single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바탕체"/>
      <charset val="129"/>
      <family val="1"/>
      <color indexed="8"/>
      <sz val="12"/>
    </font>
    <font>
      <name val="¾©"/>
      <charset val="129"/>
      <family val="3"/>
      <sz val="11"/>
    </font>
    <font>
      <name val="ⓒoUAAA¨u"/>
      <charset val="129"/>
      <family val="1"/>
      <sz val="12"/>
    </font>
    <font>
      <name val="µ¸¿ò"/>
      <charset val="129"/>
      <family val="3"/>
      <sz val="11"/>
    </font>
    <font>
      <name val="¹UAAA¼"/>
      <charset val="129"/>
      <family val="3"/>
      <sz val="12"/>
    </font>
    <font>
      <name val="¹ÙÅÁÃ¼"/>
      <charset val="129"/>
      <family val="3"/>
      <sz val="12"/>
    </font>
    <font>
      <name val="System"/>
      <charset val="129"/>
      <family val="2"/>
      <sz val="12"/>
    </font>
    <font>
      <name val="뼻뮝"/>
      <charset val="129"/>
      <family val="1"/>
      <sz val="12"/>
    </font>
    <font>
      <name val="굴림체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Harmony L"/>
      <charset val="129"/>
      <family val="3"/>
      <sz val="11"/>
    </font>
    <font>
      <name val="Harmony L"/>
      <charset val="129"/>
      <family val="3"/>
      <b val="1"/>
      <color indexed="8"/>
      <sz val="38"/>
    </font>
    <font>
      <name val="Harmony L"/>
      <charset val="129"/>
      <family val="3"/>
      <color indexed="8"/>
      <sz val="11"/>
    </font>
    <font>
      <name val="Harmony L"/>
      <charset val="129"/>
      <family val="3"/>
      <b val="1"/>
      <color theme="0" tint="-0.499984740745262"/>
      <sz val="12"/>
    </font>
    <font>
      <name val="Harmony L"/>
      <charset val="129"/>
      <family val="3"/>
      <b val="1"/>
      <color indexed="8"/>
      <sz val="18"/>
    </font>
    <font>
      <name val="Harmony L"/>
      <charset val="129"/>
      <family val="3"/>
      <b val="1"/>
      <color theme="0" tint="-0.499984740745262"/>
      <sz val="14"/>
    </font>
    <font>
      <name val="Harmony L"/>
      <charset val="129"/>
      <family val="3"/>
      <b val="1"/>
      <color rgb="FF0000FF"/>
      <sz val="15"/>
    </font>
    <font>
      <name val="Harmony L"/>
      <charset val="129"/>
      <family val="3"/>
      <b val="1"/>
      <color indexed="8"/>
      <sz val="36"/>
    </font>
    <font>
      <name val="Harmony L"/>
      <charset val="129"/>
      <family val="3"/>
      <b val="1"/>
      <color indexed="8"/>
      <sz val="26"/>
    </font>
    <font>
      <name val="Harmony L"/>
      <charset val="129"/>
      <family val="3"/>
      <b val="1"/>
      <color indexed="8"/>
      <sz val="11"/>
    </font>
    <font>
      <name val="Harmony L"/>
      <charset val="129"/>
      <family val="3"/>
      <color indexed="8"/>
      <sz val="15"/>
    </font>
    <font>
      <name val="Harmony L"/>
      <charset val="129"/>
      <family val="3"/>
      <b val="1"/>
      <color indexed="8"/>
      <sz val="15"/>
    </font>
    <font>
      <name val="Harmony L"/>
      <charset val="129"/>
      <family val="3"/>
      <b val="1"/>
      <color indexed="8"/>
      <sz val="13"/>
    </font>
    <font>
      <name val="Harmony L"/>
      <charset val="129"/>
      <family val="3"/>
      <color indexed="8"/>
      <sz val="13"/>
    </font>
    <font>
      <name val="Harmony L"/>
      <charset val="129"/>
      <family val="3"/>
      <b val="1"/>
      <i val="1"/>
      <color theme="1"/>
      <sz val="16"/>
      <u val="single"/>
    </font>
    <font>
      <name val="Harmony L"/>
      <charset val="129"/>
      <family val="3"/>
      <b val="1"/>
      <i val="1"/>
      <color theme="1"/>
      <sz val="15"/>
    </font>
    <font>
      <name val="Harmony L"/>
      <charset val="129"/>
      <family val="3"/>
      <b val="1"/>
      <color indexed="8"/>
      <sz val="12"/>
    </font>
    <font>
      <name val="Harmony L"/>
      <charset val="129"/>
      <family val="3"/>
      <b val="1"/>
      <color indexed="8"/>
      <sz val="16"/>
    </font>
    <font>
      <name val="Harmony L"/>
      <charset val="129"/>
      <family val="3"/>
      <color indexed="8"/>
      <sz val="14"/>
    </font>
    <font>
      <name val="Harmony L"/>
      <charset val="129"/>
      <family val="3"/>
      <b val="1"/>
      <color theme="1"/>
      <sz val="15"/>
    </font>
    <font>
      <name val="Harmony L"/>
      <charset val="129"/>
      <family val="3"/>
      <b val="1"/>
      <color theme="0"/>
      <sz val="15"/>
    </font>
    <font>
      <name val="Harmony L"/>
      <charset val="129"/>
      <family val="3"/>
      <color indexed="8"/>
      <sz val="12"/>
    </font>
    <font>
      <name val="Harmony L"/>
      <charset val="129"/>
      <family val="3"/>
      <sz val="12"/>
    </font>
    <font>
      <name val="Harmony L"/>
      <charset val="129"/>
      <family val="3"/>
      <b val="1"/>
      <color theme="1"/>
      <sz val="14"/>
    </font>
    <font>
      <name val="Harmony L"/>
      <charset val="129"/>
      <family val="3"/>
      <b val="1"/>
      <color indexed="8"/>
      <sz val="14"/>
    </font>
    <font>
      <name val="Harmony L"/>
      <charset val="129"/>
      <family val="3"/>
      <b val="1"/>
      <sz val="10"/>
    </font>
    <font>
      <name val="Harmony L"/>
      <charset val="129"/>
      <family val="3"/>
      <sz val="10"/>
    </font>
    <font>
      <name val="Harmony L"/>
      <charset val="129"/>
      <family val="3"/>
      <b val="1"/>
      <color theme="1"/>
      <sz val="22"/>
    </font>
    <font>
      <name val="Harmony L"/>
      <charset val="129"/>
      <family val="3"/>
      <b val="1"/>
      <color theme="1"/>
      <sz val="10"/>
    </font>
    <font>
      <name val="Harmony L"/>
      <charset val="129"/>
      <family val="3"/>
      <color theme="1"/>
      <sz val="10"/>
    </font>
    <font>
      <name val="Harmony L"/>
      <charset val="129"/>
      <family val="3"/>
      <color theme="0"/>
      <sz val="10"/>
    </font>
    <font>
      <name val="Harmony L"/>
      <charset val="129"/>
      <family val="3"/>
      <b val="1"/>
      <color theme="3"/>
      <sz val="14"/>
    </font>
    <font>
      <name val="휴먼엑스포"/>
      <charset val="129"/>
      <family val="1"/>
      <b val="1"/>
      <color rgb="FFFF0000"/>
      <sz val="16"/>
    </font>
    <font>
      <name val="휴먼엑스포"/>
      <charset val="129"/>
      <family val="1"/>
      <b val="1"/>
      <color theme="0" tint="-0.0499893185216834"/>
      <sz val="16"/>
    </font>
    <font>
      <name val="휴먼엑스포"/>
      <charset val="129"/>
      <family val="1"/>
      <b val="1"/>
      <sz val="36"/>
    </font>
    <font>
      <name val="휴먼엑스포"/>
      <charset val="129"/>
      <family val="1"/>
      <color theme="1" tint="0.3499862666707358"/>
      <sz val="16"/>
    </font>
    <font>
      <name val="휴먼엑스포"/>
      <charset val="129"/>
      <family val="1"/>
      <color theme="1" tint="0.0499893185216834"/>
      <sz val="14"/>
    </font>
    <font>
      <name val="휴먼엑스포"/>
      <charset val="129"/>
      <family val="1"/>
      <b val="1"/>
      <color theme="1" tint="0.0499893185216834"/>
      <sz val="18"/>
    </font>
    <font>
      <name val="함초롬바탕 확장B"/>
      <charset val="129"/>
      <family val="1"/>
      <b val="1"/>
      <color theme="0"/>
      <sz val="8.5"/>
    </font>
    <font>
      <name val="Harmony L"/>
      <charset val="129"/>
      <family val="3"/>
      <b val="1"/>
      <color theme="1"/>
      <sz val="12"/>
    </font>
    <font>
      <name val="Harmony L"/>
      <charset val="129"/>
      <family val="3"/>
      <b val="1"/>
      <sz val="12"/>
    </font>
    <font>
      <name val="Harmony L"/>
      <charset val="129"/>
      <family val="3"/>
      <sz val="9"/>
    </font>
    <font>
      <name val="Harmony L"/>
      <charset val="129"/>
      <family val="3"/>
      <b val="1"/>
      <color theme="0"/>
      <sz val="10"/>
    </font>
    <font>
      <name val="굴림체"/>
      <charset val="129"/>
      <family val="3"/>
      <b val="1"/>
      <sz val="10"/>
    </font>
    <font>
      <name val="Harmony L"/>
      <charset val="129"/>
      <family val="3"/>
      <b val="1"/>
      <color theme="1"/>
      <sz val="11"/>
    </font>
    <font>
      <name val="Harmony L"/>
      <charset val="129"/>
      <family val="3"/>
      <b val="1"/>
      <color theme="0" tint="-0.499984740745262"/>
      <sz val="10"/>
    </font>
    <font>
      <name val="Harmony L"/>
      <charset val="129"/>
      <family val="3"/>
      <b val="1"/>
      <color theme="0" tint="-0.499984740745262"/>
      <sz val="9"/>
    </font>
    <font>
      <name val="굴림"/>
      <charset val="129"/>
      <family val="3"/>
      <b val="1"/>
      <color theme="0"/>
      <sz val="9"/>
    </font>
    <font>
      <name val="함초롬바탕 확장B"/>
      <charset val="129"/>
      <family val="1"/>
      <b val="1"/>
      <color theme="0"/>
      <sz val="9"/>
    </font>
    <font>
      <name val="굴림"/>
      <charset val="129"/>
      <family val="3"/>
      <b val="1"/>
      <color theme="0"/>
      <sz val="10"/>
    </font>
    <font>
      <name val="Harmony L"/>
      <charset val="129"/>
      <family val="3"/>
      <color theme="3"/>
      <sz val="10"/>
    </font>
    <font>
      <name val="Harmony L"/>
      <charset val="129"/>
      <family val="3"/>
      <b val="1"/>
      <sz val="9"/>
    </font>
    <font>
      <name val="맑은 고딕"/>
      <charset val="129"/>
      <family val="2"/>
      <color theme="1"/>
      <sz val="11"/>
    </font>
    <font>
      <name val="휴먼엑스포"/>
      <charset val="129"/>
      <family val="1"/>
      <b val="1"/>
      <color theme="1" tint="0.0499893185216834"/>
      <sz val="16"/>
    </font>
    <font>
      <name val="굴림"/>
      <charset val="129"/>
      <family val="3"/>
      <sz val="9"/>
    </font>
    <font>
      <name val="굴림"/>
      <charset val="129"/>
      <family val="3"/>
      <b val="1"/>
      <sz val="9"/>
    </font>
    <font>
      <name val="맑은 고딕"/>
      <charset val="129"/>
      <family val="2"/>
      <color theme="10"/>
      <sz val="11"/>
      <u val="single"/>
      <scheme val="minor"/>
    </font>
    <font>
      <name val="Harmony L"/>
      <charset val="129"/>
      <family val="1"/>
      <b val="1"/>
      <color rgb="FFFF0000"/>
      <sz val="14"/>
    </font>
    <font>
      <name val="Harmony L"/>
      <charset val="129"/>
      <family val="3"/>
      <b val="1"/>
      <sz val="13"/>
    </font>
    <font>
      <name val="나눔스퀘어 네오 Regular"/>
      <charset val="129"/>
      <family val="3"/>
      <color rgb="FF000000"/>
      <sz val="9"/>
    </font>
    <font>
      <name val="나눔스퀘어 네오 Regular"/>
      <charset val="129"/>
      <family val="3"/>
      <sz val="9"/>
    </font>
    <font>
      <name val="Harmony L"/>
      <charset val="129"/>
      <family val="3"/>
      <b val="1"/>
      <color theme="3" tint="-0.499984740745262"/>
      <sz val="14"/>
    </font>
    <font>
      <name val="Harmony L"/>
      <charset val="129"/>
      <family val="3"/>
      <color theme="3" tint="-0.499984740745262"/>
      <sz val="14"/>
    </font>
    <font>
      <name val="Harmony L"/>
      <charset val="129"/>
      <family val="3"/>
      <color theme="3" tint="-0.499984740745262"/>
      <sz val="12"/>
    </font>
    <font>
      <name val="Harmony L"/>
      <charset val="129"/>
      <family val="3"/>
      <b val="1"/>
      <color theme="5" tint="-0.499984740745262"/>
      <sz val="14"/>
    </font>
    <font>
      <name val="HY목각파임B"/>
      <charset val="129"/>
      <family val="1"/>
      <b val="1"/>
      <color theme="5" tint="-0.499984740745262"/>
      <sz val="16"/>
    </font>
    <font>
      <name val="HY목각파임B"/>
      <charset val="129"/>
      <family val="1"/>
      <b val="1"/>
      <color theme="3" tint="-0.499984740745262"/>
      <sz val="16"/>
    </font>
    <font>
      <name val="HY목각파임B"/>
      <charset val="129"/>
      <family val="1"/>
      <color theme="3" tint="-0.499984740745262"/>
      <sz val="16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</font>
    <font>
      <name val="맑은 고딕"/>
      <charset val="129"/>
      <family val="3"/>
      <b val="1"/>
      <sz val="11"/>
    </font>
  </fonts>
  <fills count="3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</fills>
  <borders count="2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theme="0" tint="-0.499984740745262"/>
      </left>
      <right/>
      <top/>
      <bottom style="hair">
        <color theme="0" tint="-0.499984740745262"/>
      </bottom>
      <diagonal/>
    </border>
    <border>
      <left style="thick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 style="thick">
        <color theme="0" tint="-0.499984740745262"/>
      </left>
      <right/>
      <top style="hair">
        <color theme="0" tint="-0.499984740745262"/>
      </top>
      <bottom/>
      <diagonal/>
    </border>
    <border>
      <left style="thick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theme="0" tint="-0.249977111117893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249977111117893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249977111117893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249977111117893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249977111117893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249977111117893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theme="0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249977111117893"/>
      </right>
      <top style="thin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249977111117893"/>
      </right>
      <top style="thin">
        <color theme="0" tint="-0.499984740745262"/>
      </top>
      <bottom style="medium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249977111117893"/>
      </right>
      <top style="medium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468">
    <xf numFmtId="0" fontId="6" fillId="0" borderId="0"/>
    <xf numFmtId="0" fontId="16" fillId="0" borderId="0"/>
    <xf numFmtId="172" fontId="11" fillId="0" borderId="0"/>
    <xf numFmtId="172" fontId="11" fillId="0" borderId="0"/>
    <xf numFmtId="0" fontId="17" fillId="0" borderId="1" applyAlignment="1">
      <alignment horizontal="center"/>
    </xf>
    <xf numFmtId="3" fontId="9" fillId="0" borderId="2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8" fillId="0" borderId="0"/>
    <xf numFmtId="0" fontId="11" fillId="0" borderId="0"/>
    <xf numFmtId="0" fontId="8" fillId="0" borderId="0"/>
    <xf numFmtId="173" fontId="8" fillId="0" borderId="0"/>
    <xf numFmtId="173" fontId="87" fillId="0" borderId="0"/>
    <xf numFmtId="173" fontId="87" fillId="0" borderId="0"/>
    <xf numFmtId="173" fontId="8" fillId="0" borderId="0"/>
    <xf numFmtId="173" fontId="87" fillId="0" borderId="0"/>
    <xf numFmtId="173" fontId="8" fillId="0" borderId="0"/>
    <xf numFmtId="173" fontId="8" fillId="0" borderId="0"/>
    <xf numFmtId="173" fontId="8" fillId="0" borderId="0"/>
    <xf numFmtId="173" fontId="8" fillId="0" borderId="0"/>
    <xf numFmtId="173" fontId="87" fillId="0" borderId="0"/>
    <xf numFmtId="173" fontId="8" fillId="0" borderId="0"/>
    <xf numFmtId="173" fontId="8" fillId="0" borderId="0"/>
    <xf numFmtId="173" fontId="87" fillId="0" borderId="0"/>
    <xf numFmtId="173" fontId="8" fillId="0" borderId="0"/>
    <xf numFmtId="173" fontId="87" fillId="0" borderId="0"/>
    <xf numFmtId="173" fontId="87" fillId="0" borderId="0"/>
    <xf numFmtId="173" fontId="87" fillId="0" borderId="0"/>
    <xf numFmtId="173" fontId="87" fillId="0" borderId="0"/>
    <xf numFmtId="173" fontId="87" fillId="0" borderId="0"/>
    <xf numFmtId="0" fontId="8" fillId="0" borderId="0"/>
    <xf numFmtId="0" fontId="8" fillId="0" borderId="0"/>
    <xf numFmtId="0" fontId="87" fillId="0" borderId="0"/>
    <xf numFmtId="0" fontId="8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8" fillId="0" borderId="0"/>
    <xf numFmtId="0" fontId="87" fillId="0" borderId="0"/>
    <xf numFmtId="0" fontId="8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8" fillId="0" borderId="0"/>
    <xf numFmtId="0" fontId="87" fillId="0" borderId="0"/>
    <xf numFmtId="0" fontId="11" fillId="0" borderId="0"/>
    <xf numFmtId="173" fontId="87" fillId="0" borderId="0"/>
    <xf numFmtId="173" fontId="8" fillId="0" borderId="0"/>
    <xf numFmtId="0" fontId="18" fillId="0" borderId="0"/>
    <xf numFmtId="173" fontId="8" fillId="0" borderId="0"/>
    <xf numFmtId="173" fontId="87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8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8" fillId="0" borderId="0"/>
    <xf numFmtId="0" fontId="11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3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9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88" fillId="0" borderId="0"/>
    <xf numFmtId="3" fontId="9" fillId="0" borderId="2"/>
    <xf numFmtId="3" fontId="9" fillId="0" borderId="2"/>
    <xf numFmtId="3" fontId="20" fillId="0" borderId="3" applyAlignment="1">
      <alignment horizontal="right" vertical="center"/>
    </xf>
    <xf numFmtId="3" fontId="20" fillId="0" borderId="3" applyAlignment="1">
      <alignment horizontal="right" vertical="center"/>
    </xf>
    <xf numFmtId="3" fontId="20" fillId="0" borderId="3" applyAlignment="1">
      <alignment horizontal="right" vertical="center"/>
    </xf>
    <xf numFmtId="0" fontId="21" fillId="0" borderId="0" applyAlignment="1">
      <alignment horizontal="center" vertical="center"/>
    </xf>
    <xf numFmtId="0" fontId="21" fillId="0" borderId="0" applyAlignment="1">
      <alignment horizontal="center" vertical="center"/>
    </xf>
    <xf numFmtId="3" fontId="20" fillId="0" borderId="3" applyAlignment="1">
      <alignment horizontal="right" vertical="center"/>
    </xf>
    <xf numFmtId="3" fontId="20" fillId="0" borderId="3" applyAlignment="1">
      <alignment horizontal="right" vertical="center"/>
    </xf>
    <xf numFmtId="3" fontId="20" fillId="0" borderId="3" applyAlignment="1">
      <alignment horizontal="right" vertical="center"/>
    </xf>
    <xf numFmtId="0" fontId="21" fillId="0" borderId="0" applyAlignment="1">
      <alignment horizontal="center" vertical="center"/>
    </xf>
    <xf numFmtId="0" fontId="21" fillId="0" borderId="0" applyAlignment="1">
      <alignment horizontal="center" vertical="center"/>
    </xf>
    <xf numFmtId="0" fontId="22" fillId="0" borderId="0"/>
    <xf numFmtId="0" fontId="21" fillId="0" borderId="0" applyAlignment="1">
      <alignment horizontal="center" vertical="center"/>
    </xf>
    <xf numFmtId="0" fontId="21" fillId="0" borderId="0" applyAlignment="1">
      <alignment horizontal="center" vertical="center"/>
    </xf>
    <xf numFmtId="41" fontId="8" fillId="0" borderId="0" applyAlignment="1">
      <alignment horizontal="center" vertical="center"/>
    </xf>
    <xf numFmtId="41" fontId="8" fillId="0" borderId="0" applyAlignment="1">
      <alignment horizontal="center" vertical="center"/>
    </xf>
    <xf numFmtId="41" fontId="8" fillId="0" borderId="0" applyAlignment="1">
      <alignment horizontal="center" vertical="center"/>
    </xf>
    <xf numFmtId="41" fontId="8" fillId="0" borderId="0" applyAlignment="1">
      <alignment horizontal="center" vertical="center"/>
    </xf>
    <xf numFmtId="174" fontId="23" fillId="0" borderId="0" applyAlignment="1">
      <alignment horizontal="center" vertical="center"/>
    </xf>
    <xf numFmtId="41" fontId="8" fillId="0" borderId="0" applyAlignment="1">
      <alignment horizontal="center" vertical="center"/>
    </xf>
    <xf numFmtId="41" fontId="8" fillId="0" borderId="0" applyAlignment="1">
      <alignment horizontal="center" vertical="center"/>
    </xf>
    <xf numFmtId="0" fontId="22" fillId="0" borderId="0"/>
    <xf numFmtId="0" fontId="22" fillId="0" borderId="0"/>
    <xf numFmtId="0" fontId="21" fillId="0" borderId="0" applyAlignment="1">
      <alignment horizontal="center" vertical="center"/>
    </xf>
    <xf numFmtId="0" fontId="21" fillId="0" borderId="0" applyAlignment="1">
      <alignment horizontal="center" vertical="center"/>
    </xf>
    <xf numFmtId="3" fontId="20" fillId="0" borderId="3" applyAlignment="1">
      <alignment horizontal="right" vertical="center"/>
    </xf>
    <xf numFmtId="0" fontId="22" fillId="0" borderId="0"/>
    <xf numFmtId="0" fontId="11" fillId="0" borderId="0"/>
    <xf numFmtId="175" fontId="6" fillId="0" borderId="0" applyProtection="1">
      <protection locked="0" hidden="0"/>
    </xf>
    <xf numFmtId="2" fontId="20" fillId="0" borderId="3" applyAlignment="1">
      <alignment horizontal="right" vertical="center"/>
    </xf>
    <xf numFmtId="2" fontId="20" fillId="0" borderId="3" applyAlignment="1">
      <alignment horizontal="right" vertical="center"/>
    </xf>
    <xf numFmtId="0" fontId="69" fillId="2" borderId="0" applyAlignment="1">
      <alignment vertical="center"/>
    </xf>
    <xf numFmtId="0" fontId="69" fillId="4" borderId="0" applyAlignment="1">
      <alignment vertical="center"/>
    </xf>
    <xf numFmtId="0" fontId="69" fillId="6" borderId="0" applyAlignment="1">
      <alignment vertical="center"/>
    </xf>
    <xf numFmtId="0" fontId="69" fillId="7" borderId="0" applyAlignment="1">
      <alignment vertical="center"/>
    </xf>
    <xf numFmtId="0" fontId="69" fillId="8" borderId="0" applyAlignment="1">
      <alignment vertical="center"/>
    </xf>
    <xf numFmtId="0" fontId="69" fillId="3" borderId="0" applyAlignment="1">
      <alignment vertical="center"/>
    </xf>
    <xf numFmtId="0" fontId="69" fillId="10" borderId="0" applyAlignment="1">
      <alignment vertical="center"/>
    </xf>
    <xf numFmtId="0" fontId="69" fillId="11" borderId="0" applyAlignment="1">
      <alignment vertical="center"/>
    </xf>
    <xf numFmtId="0" fontId="69" fillId="13" borderId="0" applyAlignment="1">
      <alignment vertical="center"/>
    </xf>
    <xf numFmtId="0" fontId="69" fillId="7" borderId="0" applyAlignment="1">
      <alignment vertical="center"/>
    </xf>
    <xf numFmtId="0" fontId="69" fillId="10" borderId="0" applyAlignment="1">
      <alignment vertical="center"/>
    </xf>
    <xf numFmtId="0" fontId="69" fillId="14" borderId="0" applyAlignment="1">
      <alignment vertical="center"/>
    </xf>
    <xf numFmtId="9" fontId="8" fillId="0" borderId="0" applyProtection="1">
      <protection locked="0" hidden="0"/>
    </xf>
    <xf numFmtId="0" fontId="70" fillId="16" borderId="0" applyAlignment="1">
      <alignment vertical="center"/>
    </xf>
    <xf numFmtId="0" fontId="70" fillId="11" borderId="0" applyAlignment="1">
      <alignment vertical="center"/>
    </xf>
    <xf numFmtId="0" fontId="70" fillId="13" borderId="0" applyAlignment="1">
      <alignment vertical="center"/>
    </xf>
    <xf numFmtId="0" fontId="70" fillId="17" borderId="0" applyAlignment="1">
      <alignment vertical="center"/>
    </xf>
    <xf numFmtId="0" fontId="70" fillId="15" borderId="0" applyAlignment="1">
      <alignment vertical="center"/>
    </xf>
    <xf numFmtId="0" fontId="70" fillId="18" borderId="0" applyAlignment="1">
      <alignment vertical="center"/>
    </xf>
    <xf numFmtId="175" fontId="6" fillId="0" borderId="0" applyProtection="1">
      <protection locked="0" hidden="0"/>
    </xf>
    <xf numFmtId="0" fontId="24" fillId="0" borderId="0"/>
    <xf numFmtId="176" fontId="8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178" fontId="17" fillId="0" borderId="0"/>
    <xf numFmtId="43" fontId="89" fillId="0" borderId="0"/>
    <xf numFmtId="179" fontId="17" fillId="0" borderId="0"/>
    <xf numFmtId="0" fontId="89" fillId="0" borderId="0"/>
    <xf numFmtId="175" fontId="6" fillId="0" borderId="0" applyProtection="1">
      <protection locked="0" hidden="0"/>
    </xf>
    <xf numFmtId="175" fontId="6" fillId="0" borderId="0" applyProtection="1">
      <protection locked="0" hidden="0"/>
    </xf>
    <xf numFmtId="0" fontId="6" fillId="0" borderId="0" applyProtection="1">
      <protection locked="0" hidden="0"/>
    </xf>
    <xf numFmtId="180" fontId="68" fillId="0" borderId="0"/>
    <xf numFmtId="180" fontId="27" fillId="0" borderId="0"/>
    <xf numFmtId="180" fontId="68" fillId="0" borderId="0"/>
    <xf numFmtId="0" fontId="90" fillId="0" borderId="0"/>
    <xf numFmtId="0" fontId="91" fillId="0" borderId="0"/>
    <xf numFmtId="0" fontId="92" fillId="0" borderId="0"/>
    <xf numFmtId="0" fontId="91" fillId="0" borderId="0"/>
    <xf numFmtId="0" fontId="27" fillId="0" borderId="0"/>
    <xf numFmtId="37" fontId="68" fillId="0" borderId="0"/>
    <xf numFmtId="176" fontId="8" fillId="0" borderId="0" applyProtection="1">
      <protection locked="0" hidden="0"/>
    </xf>
    <xf numFmtId="181" fontId="68" fillId="0" borderId="0"/>
    <xf numFmtId="181" fontId="27" fillId="0" borderId="0"/>
    <xf numFmtId="181" fontId="68" fillId="0" borderId="0"/>
    <xf numFmtId="0" fontId="90" fillId="0" borderId="0"/>
    <xf numFmtId="0" fontId="91" fillId="0" borderId="0"/>
    <xf numFmtId="0" fontId="92" fillId="0" borderId="0"/>
    <xf numFmtId="0" fontId="91" fillId="0" borderId="0"/>
    <xf numFmtId="0" fontId="27" fillId="0" borderId="0"/>
    <xf numFmtId="37" fontId="68" fillId="0" borderId="0"/>
    <xf numFmtId="175" fontId="6" fillId="0" borderId="0" applyProtection="1">
      <protection locked="0" hidden="0"/>
    </xf>
    <xf numFmtId="182" fontId="17" fillId="0" borderId="0"/>
    <xf numFmtId="182" fontId="17" fillId="0" borderId="0"/>
    <xf numFmtId="0" fontId="89" fillId="0" borderId="0"/>
    <xf numFmtId="0" fontId="89" fillId="0" borderId="0"/>
    <xf numFmtId="0" fontId="17" fillId="0" borderId="0"/>
    <xf numFmtId="175" fontId="6" fillId="0" borderId="0" applyProtection="1">
      <protection locked="0" hidden="0"/>
    </xf>
    <xf numFmtId="173" fontId="68" fillId="0" borderId="0"/>
    <xf numFmtId="173" fontId="27" fillId="0" borderId="0"/>
    <xf numFmtId="173" fontId="68" fillId="0" borderId="0"/>
    <xf numFmtId="0" fontId="90" fillId="0" borderId="0"/>
    <xf numFmtId="0" fontId="8" fillId="0" borderId="0"/>
    <xf numFmtId="0" fontId="92" fillId="0" borderId="0"/>
    <xf numFmtId="0" fontId="6" fillId="0" borderId="0"/>
    <xf numFmtId="0" fontId="27" fillId="0" borderId="0"/>
    <xf numFmtId="37" fontId="68" fillId="0" borderId="0"/>
    <xf numFmtId="183" fontId="68" fillId="0" borderId="0"/>
    <xf numFmtId="183" fontId="27" fillId="0" borderId="0"/>
    <xf numFmtId="183" fontId="68" fillId="0" borderId="0"/>
    <xf numFmtId="0" fontId="90" fillId="0" borderId="0"/>
    <xf numFmtId="0" fontId="8" fillId="0" borderId="0"/>
    <xf numFmtId="0" fontId="90" fillId="0" borderId="0"/>
    <xf numFmtId="0" fontId="18" fillId="0" borderId="0"/>
    <xf numFmtId="0" fontId="27" fillId="0" borderId="0"/>
    <xf numFmtId="37" fontId="68" fillId="0" borderId="0"/>
    <xf numFmtId="0" fontId="6" fillId="0" borderId="0"/>
    <xf numFmtId="0" fontId="28" fillId="0" borderId="0"/>
    <xf numFmtId="175" fontId="6" fillId="0" borderId="0" applyProtection="1">
      <protection locked="0" hidden="0"/>
    </xf>
    <xf numFmtId="0" fontId="11" fillId="0" borderId="0"/>
    <xf numFmtId="176" fontId="8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0" fontId="17" fillId="0" borderId="0"/>
    <xf numFmtId="0" fontId="93" fillId="0" borderId="0"/>
    <xf numFmtId="0" fontId="29" fillId="0" borderId="0"/>
    <xf numFmtId="0" fontId="27" fillId="0" borderId="0"/>
    <xf numFmtId="0" fontId="68" fillId="0" borderId="0"/>
    <xf numFmtId="0" fontId="27" fillId="0" borderId="0"/>
    <xf numFmtId="0" fontId="93" fillId="0" borderId="0"/>
    <xf numFmtId="0" fontId="92" fillId="0" borderId="0"/>
    <xf numFmtId="0" fontId="91" fillId="0" borderId="0"/>
    <xf numFmtId="0" fontId="92" fillId="0" borderId="0"/>
    <xf numFmtId="0" fontId="11" fillId="0" borderId="0"/>
    <xf numFmtId="184" fontId="6" fillId="0" borderId="0"/>
    <xf numFmtId="0" fontId="10" fillId="0" borderId="0"/>
    <xf numFmtId="175" fontId="6" fillId="0" borderId="0" applyProtection="1">
      <protection locked="0" hidden="0"/>
    </xf>
    <xf numFmtId="3" fontId="30" fillId="0" borderId="0" applyAlignment="1">
      <alignment horizontal="center"/>
    </xf>
    <xf numFmtId="4" fontId="31" fillId="0" borderId="0" applyProtection="1">
      <protection locked="0" hidden="0"/>
    </xf>
    <xf numFmtId="41" fontId="24" fillId="0" borderId="0"/>
    <xf numFmtId="40" fontId="17" fillId="0" borderId="0"/>
    <xf numFmtId="185" fontId="8" fillId="0" borderId="0"/>
    <xf numFmtId="183" fontId="11" fillId="0" borderId="0"/>
    <xf numFmtId="186" fontId="6" fillId="0" borderId="0" applyProtection="1">
      <protection locked="0" hidden="0"/>
    </xf>
    <xf numFmtId="40" fontId="17" fillId="0" borderId="0"/>
    <xf numFmtId="0" fontId="32" fillId="0" borderId="0" applyAlignment="1">
      <alignment horizontal="left"/>
    </xf>
    <xf numFmtId="0" fontId="18" fillId="0" borderId="0"/>
    <xf numFmtId="187" fontId="31" fillId="0" borderId="0" applyProtection="1">
      <protection locked="0" hidden="0"/>
    </xf>
    <xf numFmtId="0" fontId="24" fillId="0" borderId="0"/>
    <xf numFmtId="188" fontId="8" fillId="0" borderId="0" applyProtection="1">
      <protection locked="0" hidden="0"/>
    </xf>
    <xf numFmtId="188" fontId="8" fillId="0" borderId="0" applyProtection="1">
      <protection locked="0" hidden="0"/>
    </xf>
    <xf numFmtId="188" fontId="8" fillId="0" borderId="0" applyProtection="1">
      <protection locked="0" hidden="0"/>
    </xf>
    <xf numFmtId="188" fontId="8" fillId="0" borderId="0" applyProtection="1">
      <protection locked="0" hidden="0"/>
    </xf>
    <xf numFmtId="183" fontId="18" fillId="0" borderId="0" applyProtection="1">
      <protection locked="0" hidden="0"/>
    </xf>
    <xf numFmtId="189" fontId="6" fillId="0" borderId="0"/>
    <xf numFmtId="186" fontId="6" fillId="0" borderId="0" applyProtection="1">
      <protection locked="0" hidden="0"/>
    </xf>
    <xf numFmtId="0" fontId="5" fillId="0" borderId="0"/>
    <xf numFmtId="190" fontId="31" fillId="0" borderId="0" applyProtection="1">
      <protection locked="0" hidden="0"/>
    </xf>
    <xf numFmtId="191" fontId="8" fillId="0" borderId="0" applyProtection="1">
      <protection locked="0" hidden="0"/>
    </xf>
    <xf numFmtId="186" fontId="6" fillId="0" borderId="0" applyProtection="1">
      <protection locked="0" hidden="0"/>
    </xf>
    <xf numFmtId="41" fontId="11" fillId="0" borderId="0"/>
    <xf numFmtId="43" fontId="11" fillId="0" borderId="0"/>
    <xf numFmtId="192" fontId="8" fillId="0" borderId="0"/>
    <xf numFmtId="0" fontId="33" fillId="0" borderId="0" applyAlignment="1">
      <alignment horizontal="left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4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4" fillId="0" borderId="0" applyProtection="1">
      <protection locked="0" hidden="0"/>
    </xf>
    <xf numFmtId="193" fontId="31" fillId="0" borderId="0" applyProtection="1">
      <protection locked="0" hidden="0"/>
    </xf>
    <xf numFmtId="194" fontId="8" fillId="0" borderId="0" applyProtection="1">
      <protection locked="0" hidden="0"/>
    </xf>
    <xf numFmtId="186" fontId="6" fillId="0" borderId="0" applyProtection="1">
      <protection locked="0" hidden="0"/>
    </xf>
    <xf numFmtId="0" fontId="35" fillId="0" borderId="0"/>
    <xf numFmtId="38" fontId="12" fillId="19" borderId="0"/>
    <xf numFmtId="38" fontId="12" fillId="20" borderId="0"/>
    <xf numFmtId="3" fontId="16" fillId="0" borderId="4" applyAlignment="1">
      <alignment horizontal="right" vertical="center"/>
    </xf>
    <xf numFmtId="4" fontId="16" fillId="0" borderId="4" applyAlignment="1">
      <alignment horizontal="right" vertical="center"/>
    </xf>
    <xf numFmtId="0" fontId="13" fillId="0" borderId="0" applyAlignment="1">
      <alignment horizontal="left"/>
    </xf>
    <xf numFmtId="0" fontId="14" fillId="0" borderId="5" applyAlignment="1">
      <alignment horizontal="left" vertical="center"/>
    </xf>
    <xf numFmtId="0" fontId="14" fillId="0" borderId="6" applyAlignment="1">
      <alignment horizontal="left" vertical="center"/>
    </xf>
    <xf numFmtId="186" fontId="6" fillId="0" borderId="0" applyProtection="1">
      <protection locked="0" hidden="0"/>
    </xf>
    <xf numFmtId="186" fontId="6" fillId="0" borderId="0" applyProtection="1">
      <protection locked="0" hidden="0"/>
    </xf>
    <xf numFmtId="195" fontId="36" fillId="0" borderId="0" applyProtection="1">
      <protection locked="0" hidden="0"/>
    </xf>
    <xf numFmtId="196" fontId="8" fillId="0" borderId="0" applyProtection="1">
      <protection locked="0" hidden="0"/>
    </xf>
    <xf numFmtId="0" fontId="36" fillId="0" borderId="0" applyProtection="1">
      <protection locked="0" hidden="0"/>
    </xf>
    <xf numFmtId="195" fontId="36" fillId="0" borderId="0" applyProtection="1">
      <protection locked="0" hidden="0"/>
    </xf>
    <xf numFmtId="196" fontId="8" fillId="0" borderId="0" applyProtection="1">
      <protection locked="0" hidden="0"/>
    </xf>
    <xf numFmtId="0" fontId="36" fillId="0" borderId="0" applyProtection="1">
      <protection locked="0" hidden="0"/>
    </xf>
    <xf numFmtId="0" fontId="11" fillId="0" borderId="0" applyProtection="1">
      <protection locked="0" hidden="0"/>
    </xf>
    <xf numFmtId="0" fontId="37" fillId="0" borderId="0"/>
    <xf numFmtId="0" fontId="38" fillId="0" borderId="0" applyAlignment="1" applyProtection="1">
      <alignment vertical="top"/>
      <protection locked="0" hidden="0"/>
    </xf>
    <xf numFmtId="10" fontId="12" fillId="19" borderId="2"/>
    <xf numFmtId="10" fontId="12" fillId="21" borderId="2"/>
    <xf numFmtId="197" fontId="39" fillId="0" borderId="0" applyAlignment="1">
      <alignment horizontal="left"/>
    </xf>
    <xf numFmtId="38" fontId="17" fillId="0" borderId="0"/>
    <xf numFmtId="40" fontId="17" fillId="0" borderId="0"/>
    <xf numFmtId="0" fontId="15" fillId="0" borderId="7"/>
    <xf numFmtId="0" fontId="51" fillId="0" borderId="0"/>
    <xf numFmtId="198" fontId="51" fillId="0" borderId="0"/>
    <xf numFmtId="0" fontId="11" fillId="0" borderId="0"/>
    <xf numFmtId="37" fontId="40" fillId="0" borderId="0"/>
    <xf numFmtId="0" fontId="8" fillId="0" borderId="0"/>
    <xf numFmtId="199" fontId="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" fillId="0" borderId="0"/>
    <xf numFmtId="0" fontId="17" fillId="0" borderId="0"/>
    <xf numFmtId="0" fontId="11" fillId="0" borderId="0"/>
    <xf numFmtId="0" fontId="11" fillId="0" borderId="0"/>
    <xf numFmtId="0" fontId="11" fillId="0" borderId="0"/>
    <xf numFmtId="200" fontId="31" fillId="0" borderId="0" applyProtection="1">
      <protection locked="0" hidden="0"/>
    </xf>
    <xf numFmtId="10" fontId="11" fillId="0" borderId="0"/>
    <xf numFmtId="201" fontId="8" fillId="0" borderId="0" applyProtection="1">
      <protection locked="0" hidden="0"/>
    </xf>
    <xf numFmtId="201" fontId="8" fillId="0" borderId="0" applyProtection="1">
      <protection locked="0" hidden="0"/>
    </xf>
    <xf numFmtId="201" fontId="8" fillId="0" borderId="0" applyProtection="1">
      <protection locked="0" hidden="0"/>
    </xf>
    <xf numFmtId="201" fontId="8" fillId="0" borderId="0" applyProtection="1">
      <protection locked="0" hidden="0"/>
    </xf>
    <xf numFmtId="202" fontId="18" fillId="0" borderId="0" applyProtection="1">
      <protection locked="0" hidden="0"/>
    </xf>
    <xf numFmtId="9" fontId="11" fillId="0" borderId="0"/>
    <xf numFmtId="0" fontId="42" fillId="0" borderId="0" applyAlignment="1">
      <alignment horizontal="left"/>
    </xf>
    <xf numFmtId="198" fontId="51" fillId="0" borderId="0" applyAlignment="1">
      <alignment horizontal="center"/>
    </xf>
    <xf numFmtId="0" fontId="15" fillId="0" borderId="0"/>
    <xf numFmtId="40" fontId="43" fillId="0" borderId="0" applyAlignment="1">
      <alignment horizontal="right"/>
    </xf>
    <xf numFmtId="203" fontId="44" fillId="0" borderId="0" applyAlignment="1">
      <alignment horizontal="center"/>
    </xf>
    <xf numFmtId="0" fontId="45" fillId="0" borderId="0" applyAlignment="1">
      <alignment horizontal="centerContinuous" vertical="center"/>
    </xf>
    <xf numFmtId="0" fontId="22" fillId="19" borderId="0" applyAlignment="1">
      <alignment horizontal="center" vertical="center"/>
    </xf>
    <xf numFmtId="195" fontId="31" fillId="0" borderId="8" applyProtection="1">
      <protection locked="0" hidden="0"/>
    </xf>
    <xf numFmtId="196" fontId="8" fillId="0" borderId="8" applyProtection="1">
      <protection locked="0" hidden="0"/>
    </xf>
    <xf numFmtId="186" fontId="6" fillId="0" borderId="9" applyProtection="1">
      <protection locked="0" hidden="0"/>
    </xf>
    <xf numFmtId="0" fontId="46" fillId="0" borderId="10" applyAlignment="1">
      <alignment horizontal="left"/>
    </xf>
    <xf numFmtId="37" fontId="12" fillId="0" borderId="0"/>
    <xf numFmtId="0" fontId="11" fillId="0" borderId="0"/>
    <xf numFmtId="0" fontId="11" fillId="0" borderId="0"/>
    <xf numFmtId="0" fontId="47" fillId="0" borderId="0" applyProtection="1">
      <protection locked="0" hidden="0"/>
    </xf>
    <xf numFmtId="0" fontId="70" fillId="22" borderId="0" applyAlignment="1">
      <alignment vertical="center"/>
    </xf>
    <xf numFmtId="0" fontId="70" fillId="23" borderId="0" applyAlignment="1">
      <alignment vertical="center"/>
    </xf>
    <xf numFmtId="0" fontId="70" fillId="24" borderId="0" applyAlignment="1">
      <alignment vertical="center"/>
    </xf>
    <xf numFmtId="0" fontId="70" fillId="17" borderId="0" applyAlignment="1">
      <alignment vertical="center"/>
    </xf>
    <xf numFmtId="0" fontId="70" fillId="15" borderId="0" applyAlignment="1">
      <alignment vertical="center"/>
    </xf>
    <xf numFmtId="0" fontId="70" fillId="25" borderId="0" applyAlignment="1">
      <alignment vertical="center"/>
    </xf>
    <xf numFmtId="0" fontId="71" fillId="0" borderId="0" applyAlignment="1">
      <alignment vertical="center"/>
    </xf>
    <xf numFmtId="0" fontId="72" fillId="9" borderId="11" applyAlignment="1">
      <alignment vertical="center"/>
    </xf>
    <xf numFmtId="2" fontId="48" fillId="0" borderId="0"/>
    <xf numFmtId="0" fontId="49" fillId="0" borderId="0"/>
    <xf numFmtId="0" fontId="50" fillId="0" borderId="0"/>
    <xf numFmtId="0" fontId="51" fillId="0" borderId="0"/>
    <xf numFmtId="0" fontId="51" fillId="0" borderId="12" applyAlignment="1">
      <alignment horizontal="center"/>
    </xf>
    <xf numFmtId="0" fontId="51" fillId="0" borderId="13"/>
    <xf numFmtId="0" fontId="52" fillId="0" borderId="0"/>
    <xf numFmtId="173" fontId="8" fillId="0" borderId="0"/>
    <xf numFmtId="41" fontId="53" fillId="0" borderId="14" applyAlignment="1">
      <alignment horizontal="center" vertical="center"/>
    </xf>
    <xf numFmtId="0" fontId="6" fillId="0" borderId="0" applyProtection="1">
      <protection locked="0" hidden="0"/>
    </xf>
    <xf numFmtId="0" fontId="73" fillId="4" borderId="0" applyAlignment="1">
      <alignment vertical="center"/>
    </xf>
    <xf numFmtId="0" fontId="48" fillId="0" borderId="0"/>
    <xf numFmtId="3" fontId="17" fillId="0" borderId="15" applyAlignment="1">
      <alignment horizontal="center"/>
    </xf>
    <xf numFmtId="0" fontId="30" fillId="0" borderId="0" applyAlignment="1">
      <alignment horizontal="left"/>
    </xf>
    <xf numFmtId="0" fontId="48" fillId="0" borderId="0"/>
    <xf numFmtId="0" fontId="82" fillId="0" borderId="0" applyAlignment="1" applyProtection="1">
      <alignment vertical="top"/>
      <protection locked="0" hidden="0"/>
    </xf>
    <xf numFmtId="0" fontId="11" fillId="0" borderId="0"/>
    <xf numFmtId="0" fontId="11" fillId="0" borderId="0"/>
    <xf numFmtId="0" fontId="7" fillId="5" borderId="16" applyAlignment="1">
      <alignment vertical="center"/>
    </xf>
    <xf numFmtId="0" fontId="6" fillId="5" borderId="16" applyAlignment="1">
      <alignment vertical="center"/>
    </xf>
    <xf numFmtId="0" fontId="11" fillId="0" borderId="0"/>
    <xf numFmtId="0" fontId="11" fillId="0" borderId="0"/>
    <xf numFmtId="41" fontId="54" fillId="0" borderId="2" applyAlignment="1">
      <alignment horizontal="distributed" vertical="center"/>
    </xf>
    <xf numFmtId="175" fontId="6" fillId="0" borderId="0" applyProtection="1">
      <protection locked="0" hidden="0"/>
    </xf>
    <xf numFmtId="0" fontId="55" fillId="0" borderId="0" applyProtection="1">
      <protection locked="0" hidden="0"/>
    </xf>
    <xf numFmtId="195" fontId="55" fillId="0" borderId="0" applyProtection="1">
      <protection locked="0" hidden="0"/>
    </xf>
    <xf numFmtId="0" fontId="55" fillId="0" borderId="0" applyProtection="1">
      <protection locked="0" hidden="0"/>
    </xf>
    <xf numFmtId="176" fontId="8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195" fontId="55" fillId="0" borderId="0" applyProtection="1">
      <protection locked="0" hidden="0"/>
    </xf>
    <xf numFmtId="175" fontId="6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9" fontId="21" fillId="19" borderId="0" applyAlignment="1">
      <alignment horizontal="right"/>
    </xf>
    <xf numFmtId="10" fontId="21" fillId="0" borderId="0" applyAlignment="1">
      <alignment horizontal="right"/>
    </xf>
    <xf numFmtId="9" fontId="6" fillId="0" borderId="0"/>
    <xf numFmtId="9" fontId="6" fillId="0" borderId="0" applyAlignment="1">
      <alignment vertical="center"/>
    </xf>
    <xf numFmtId="9" fontId="6" fillId="0" borderId="0" applyAlignment="1">
      <alignment vertical="center"/>
    </xf>
    <xf numFmtId="9" fontId="6" fillId="0" borderId="0" applyAlignment="1">
      <alignment vertical="center"/>
    </xf>
    <xf numFmtId="9" fontId="6" fillId="0" borderId="0"/>
    <xf numFmtId="9" fontId="8" fillId="0" borderId="0"/>
    <xf numFmtId="9" fontId="6" fillId="0" borderId="0" applyAlignment="1">
      <alignment vertical="center"/>
    </xf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204" fontId="6" fillId="0" borderId="0"/>
    <xf numFmtId="205" fontId="6" fillId="0" borderId="0"/>
    <xf numFmtId="0" fontId="56" fillId="0" borderId="0"/>
    <xf numFmtId="0" fontId="74" fillId="12" borderId="0" applyAlignment="1">
      <alignment vertical="center"/>
    </xf>
    <xf numFmtId="0" fontId="94" fillId="0" borderId="0"/>
    <xf numFmtId="206" fontId="6" fillId="0" borderId="17"/>
    <xf numFmtId="204" fontId="6" fillId="0" borderId="0" applyAlignment="1">
      <alignment horizontal="centerContinuous" vertical="center"/>
    </xf>
    <xf numFmtId="38" fontId="57" fillId="0" borderId="0" applyAlignment="1">
      <alignment vertical="center" wrapText="1"/>
    </xf>
    <xf numFmtId="0" fontId="75" fillId="0" borderId="0" applyAlignment="1">
      <alignment vertical="center"/>
    </xf>
    <xf numFmtId="0" fontId="76" fillId="26" borderId="18" applyAlignment="1">
      <alignment vertical="center"/>
    </xf>
    <xf numFmtId="0" fontId="52" fillId="0" borderId="19"/>
    <xf numFmtId="4" fontId="52" fillId="0" borderId="17"/>
    <xf numFmtId="207" fontId="6" fillId="0" borderId="17"/>
    <xf numFmtId="0" fontId="6" fillId="0" borderId="17"/>
    <xf numFmtId="3" fontId="58" fillId="0" borderId="0" applyAlignment="1">
      <alignment vertical="center" wrapText="1"/>
    </xf>
    <xf numFmtId="3" fontId="59" fillId="0" borderId="0" applyAlignment="1">
      <alignment vertical="center" wrapText="1"/>
    </xf>
    <xf numFmtId="0" fontId="60" fillId="0" borderId="0" applyAlignment="1">
      <alignment vertical="center"/>
    </xf>
    <xf numFmtId="178" fontId="61" fillId="0" borderId="0" applyAlignment="1">
      <alignment vertical="center"/>
    </xf>
    <xf numFmtId="41" fontId="6" fillId="0" borderId="0"/>
    <xf numFmtId="41" fontId="6" fillId="0" borderId="0" applyAlignment="1">
      <alignment vertical="center"/>
    </xf>
    <xf numFmtId="41" fontId="8" fillId="0" borderId="0"/>
    <xf numFmtId="41" fontId="6" fillId="0" borderId="0"/>
    <xf numFmtId="41" fontId="6" fillId="0" borderId="0" applyAlignment="1">
      <alignment vertical="center"/>
    </xf>
    <xf numFmtId="41" fontId="6" fillId="0" borderId="0"/>
    <xf numFmtId="41" fontId="6" fillId="0" borderId="0"/>
    <xf numFmtId="41" fontId="7" fillId="0" borderId="0" applyAlignment="1">
      <alignment vertical="center"/>
    </xf>
    <xf numFmtId="41" fontId="6" fillId="0" borderId="0"/>
    <xf numFmtId="41" fontId="7" fillId="0" borderId="0" applyAlignment="1">
      <alignment vertical="center"/>
    </xf>
    <xf numFmtId="41" fontId="96" fillId="0" borderId="0" applyAlignment="1">
      <alignment vertical="center"/>
    </xf>
    <xf numFmtId="173" fontId="8" fillId="0" borderId="0"/>
    <xf numFmtId="0" fontId="11" fillId="0" borderId="0"/>
    <xf numFmtId="0" fontId="11" fillId="0" borderId="0"/>
    <xf numFmtId="172" fontId="11" fillId="0" borderId="0"/>
    <xf numFmtId="0" fontId="11" fillId="0" borderId="0"/>
    <xf numFmtId="172" fontId="11" fillId="0" borderId="0"/>
    <xf numFmtId="172" fontId="11" fillId="0" borderId="0"/>
    <xf numFmtId="0" fontId="11" fillId="0" borderId="0"/>
    <xf numFmtId="172" fontId="11" fillId="0" borderId="0"/>
    <xf numFmtId="0" fontId="11" fillId="0" borderId="0"/>
    <xf numFmtId="172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172" fontId="11" fillId="0" borderId="0"/>
    <xf numFmtId="0" fontId="11" fillId="0" borderId="0"/>
    <xf numFmtId="172" fontId="11" fillId="0" borderId="0"/>
    <xf numFmtId="172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22" fillId="0" borderId="0"/>
    <xf numFmtId="0" fontId="11" fillId="0" borderId="0"/>
    <xf numFmtId="0" fontId="22" fillId="0" borderId="0"/>
    <xf numFmtId="0" fontId="11" fillId="0" borderId="0"/>
    <xf numFmtId="208" fontId="11" fillId="0" borderId="0"/>
    <xf numFmtId="0" fontId="22" fillId="0" borderId="0"/>
    <xf numFmtId="0" fontId="22" fillId="0" borderId="0"/>
    <xf numFmtId="209" fontId="22" fillId="0" borderId="0"/>
    <xf numFmtId="0" fontId="22" fillId="0" borderId="0"/>
    <xf numFmtId="209" fontId="22" fillId="0" borderId="0"/>
    <xf numFmtId="172" fontId="11" fillId="0" borderId="0"/>
    <xf numFmtId="0" fontId="22" fillId="0" borderId="0"/>
    <xf numFmtId="0" fontId="22" fillId="0" borderId="0"/>
    <xf numFmtId="209" fontId="22" fillId="0" borderId="0"/>
    <xf numFmtId="0" fontId="22" fillId="0" borderId="0"/>
    <xf numFmtId="209" fontId="22" fillId="0" borderId="0"/>
    <xf numFmtId="209" fontId="22" fillId="0" borderId="0"/>
    <xf numFmtId="0" fontId="22" fillId="0" borderId="0"/>
    <xf numFmtId="209" fontId="22" fillId="0" borderId="0"/>
    <xf numFmtId="0" fontId="22" fillId="0" borderId="0"/>
    <xf numFmtId="209" fontId="22" fillId="0" borderId="0"/>
    <xf numFmtId="0" fontId="11" fillId="0" borderId="0"/>
    <xf numFmtId="0" fontId="22" fillId="0" borderId="0"/>
    <xf numFmtId="0" fontId="22" fillId="0" borderId="0"/>
    <xf numFmtId="209" fontId="22" fillId="0" borderId="0"/>
    <xf numFmtId="0" fontId="22" fillId="0" borderId="0"/>
    <xf numFmtId="209" fontId="22" fillId="0" borderId="0"/>
    <xf numFmtId="209" fontId="22" fillId="0" borderId="0"/>
    <xf numFmtId="172" fontId="11" fillId="0" borderId="0"/>
    <xf numFmtId="0" fontId="11" fillId="0" borderId="0"/>
    <xf numFmtId="172" fontId="11" fillId="0" borderId="0"/>
    <xf numFmtId="0" fontId="8" fillId="0" borderId="0"/>
    <xf numFmtId="0" fontId="62" fillId="0" borderId="20"/>
    <xf numFmtId="0" fontId="77" fillId="0" borderId="21" applyAlignment="1">
      <alignment vertical="center"/>
    </xf>
    <xf numFmtId="0" fontId="78" fillId="0" borderId="22" applyAlignment="1">
      <alignment vertical="center"/>
    </xf>
    <xf numFmtId="210" fontId="63" fillId="0" borderId="0"/>
    <xf numFmtId="211" fontId="6" fillId="0" borderId="0"/>
    <xf numFmtId="210" fontId="63" fillId="0" borderId="0"/>
    <xf numFmtId="210" fontId="63" fillId="0" borderId="0"/>
    <xf numFmtId="0" fontId="64" fillId="0" borderId="0" applyAlignment="1">
      <alignment vertical="center"/>
    </xf>
    <xf numFmtId="0" fontId="65" fillId="0" borderId="0" applyAlignment="1">
      <alignment horizontal="left" vertical="center"/>
    </xf>
    <xf numFmtId="0" fontId="57" fillId="0" borderId="0" applyAlignment="1">
      <alignment horizontal="centerContinuous" vertical="center"/>
    </xf>
    <xf numFmtId="0" fontId="79" fillId="3" borderId="11" applyAlignment="1">
      <alignment vertical="center"/>
    </xf>
    <xf numFmtId="4" fontId="48" fillId="0" borderId="0"/>
    <xf numFmtId="0" fontId="52" fillId="0" borderId="0"/>
    <xf numFmtId="4" fontId="48" fillId="0" borderId="0"/>
    <xf numFmtId="3" fontId="48" fillId="0" borderId="0"/>
    <xf numFmtId="0" fontId="84" fillId="0" borderId="23" applyAlignment="1">
      <alignment vertical="center"/>
    </xf>
    <xf numFmtId="0" fontId="85" fillId="0" borderId="24" applyAlignment="1">
      <alignment vertical="center"/>
    </xf>
    <xf numFmtId="0" fontId="86" fillId="0" borderId="25" applyAlignment="1">
      <alignment vertical="center"/>
    </xf>
    <xf numFmtId="0" fontId="86" fillId="0" borderId="0" applyAlignment="1">
      <alignment vertical="center"/>
    </xf>
    <xf numFmtId="0" fontId="83" fillId="0" borderId="0" applyAlignment="1">
      <alignment vertical="center"/>
    </xf>
    <xf numFmtId="0" fontId="80" fillId="6" borderId="0" applyAlignment="1">
      <alignment vertical="center"/>
    </xf>
    <xf numFmtId="0" fontId="8" fillId="0" borderId="0"/>
    <xf numFmtId="0" fontId="81" fillId="9" borderId="26" applyAlignment="1">
      <alignment vertical="center"/>
    </xf>
    <xf numFmtId="175" fontId="6" fillId="0" borderId="0" applyProtection="1">
      <protection locked="0" hidden="0"/>
    </xf>
    <xf numFmtId="0" fontId="55" fillId="0" borderId="0" applyProtection="1">
      <protection locked="0" hidden="0"/>
    </xf>
    <xf numFmtId="195" fontId="55" fillId="0" borderId="0" applyProtection="1">
      <protection locked="0" hidden="0"/>
    </xf>
    <xf numFmtId="0" fontId="55" fillId="0" borderId="0" applyProtection="1">
      <protection locked="0" hidden="0"/>
    </xf>
    <xf numFmtId="176" fontId="8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195" fontId="55" fillId="0" borderId="0" applyProtection="1">
      <protection locked="0" hidden="0"/>
    </xf>
    <xf numFmtId="175" fontId="6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178" fontId="66" fillId="0" borderId="0" applyAlignment="1">
      <alignment vertical="center"/>
    </xf>
    <xf numFmtId="175" fontId="6" fillId="0" borderId="0" applyProtection="1">
      <protection locked="0" hidden="0"/>
    </xf>
    <xf numFmtId="212" fontId="6" fillId="0" borderId="0" applyAlignment="1">
      <alignment vertical="center"/>
    </xf>
    <xf numFmtId="38" fontId="54" fillId="0" borderId="0" applyAlignment="1">
      <alignment vertical="center"/>
    </xf>
    <xf numFmtId="176" fontId="8" fillId="0" borderId="0" applyProtection="1">
      <protection locked="0" hidden="0"/>
    </xf>
    <xf numFmtId="41" fontId="6" fillId="0" borderId="0"/>
    <xf numFmtId="181" fontId="8" fillId="19" borderId="0" applyAlignment="1">
      <alignment horizontal="right"/>
    </xf>
    <xf numFmtId="213" fontId="8" fillId="19" borderId="0" applyAlignment="1">
      <alignment horizontal="right"/>
    </xf>
    <xf numFmtId="38" fontId="54" fillId="0" borderId="0" applyAlignment="1">
      <alignment vertical="center"/>
    </xf>
    <xf numFmtId="214" fontId="6" fillId="0" borderId="0" applyAlignment="1">
      <alignment vertical="center"/>
    </xf>
    <xf numFmtId="176" fontId="6" fillId="0" borderId="0" applyAlignment="1">
      <alignment vertical="center"/>
    </xf>
    <xf numFmtId="215" fontId="18" fillId="0" borderId="0" applyAlignment="1">
      <alignment textRotation="255"/>
    </xf>
    <xf numFmtId="216" fontId="18" fillId="0" borderId="0" applyAlignment="1">
      <alignment textRotation="255"/>
    </xf>
    <xf numFmtId="217" fontId="18" fillId="0" borderId="0" applyAlignment="1">
      <alignment textRotation="255"/>
    </xf>
    <xf numFmtId="218" fontId="18" fillId="0" borderId="0" applyAlignment="1">
      <alignment textRotation="255"/>
    </xf>
    <xf numFmtId="43" fontId="9" fillId="0" borderId="0"/>
    <xf numFmtId="175" fontId="6" fillId="0" borderId="0" applyProtection="1">
      <protection locked="0" hidden="0"/>
    </xf>
    <xf numFmtId="0" fontId="55" fillId="0" borderId="0" applyProtection="1">
      <protection locked="0" hidden="0"/>
    </xf>
    <xf numFmtId="195" fontId="55" fillId="0" borderId="0" applyProtection="1">
      <protection locked="0" hidden="0"/>
    </xf>
    <xf numFmtId="0" fontId="55" fillId="0" borderId="0" applyProtection="1">
      <protection locked="0" hidden="0"/>
    </xf>
    <xf numFmtId="176" fontId="8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195" fontId="55" fillId="0" borderId="0" applyProtection="1">
      <protection locked="0" hidden="0"/>
    </xf>
    <xf numFmtId="175" fontId="6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42" fontId="6" fillId="0" borderId="0"/>
    <xf numFmtId="42" fontId="6" fillId="0" borderId="0"/>
    <xf numFmtId="10" fontId="48" fillId="0" borderId="0"/>
    <xf numFmtId="175" fontId="6" fillId="0" borderId="0" applyProtection="1">
      <protection locked="0" hidden="0"/>
    </xf>
    <xf numFmtId="0" fontId="55" fillId="0" borderId="0" applyProtection="1">
      <protection locked="0" hidden="0"/>
    </xf>
    <xf numFmtId="195" fontId="55" fillId="0" borderId="0" applyProtection="1">
      <protection locked="0" hidden="0"/>
    </xf>
    <xf numFmtId="0" fontId="55" fillId="0" borderId="0" applyProtection="1">
      <protection locked="0" hidden="0"/>
    </xf>
    <xf numFmtId="176" fontId="8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195" fontId="55" fillId="0" borderId="0" applyProtection="1">
      <protection locked="0" hidden="0"/>
    </xf>
    <xf numFmtId="175" fontId="6" fillId="0" borderId="0" applyProtection="1">
      <protection locked="0" hidden="0"/>
    </xf>
    <xf numFmtId="177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25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9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7" fillId="0" borderId="0" applyAlignment="1">
      <alignment vertical="center"/>
    </xf>
    <xf numFmtId="0" fontId="96" fillId="0" borderId="0" applyAlignment="1">
      <alignment vertical="center"/>
    </xf>
    <xf numFmtId="0" fontId="69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96" fillId="0" borderId="0" applyAlignment="1">
      <alignment vertical="center"/>
    </xf>
    <xf numFmtId="0" fontId="69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9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96" fillId="0" borderId="0" applyAlignment="1">
      <alignment vertical="center"/>
    </xf>
    <xf numFmtId="0" fontId="6" fillId="0" borderId="0"/>
    <xf numFmtId="0" fontId="48" fillId="0" borderId="9"/>
    <xf numFmtId="219" fontId="48" fillId="0" borderId="0"/>
    <xf numFmtId="220" fontId="48" fillId="0" borderId="0"/>
    <xf numFmtId="173" fontId="8" fillId="0" borderId="27"/>
    <xf numFmtId="0" fontId="149" fillId="0" borderId="0" applyAlignment="1">
      <alignment vertical="center"/>
    </xf>
    <xf numFmtId="41" fontId="149" fillId="0" borderId="0" applyAlignment="1">
      <alignment vertical="center"/>
    </xf>
    <xf numFmtId="9" fontId="149" fillId="0" borderId="0" applyAlignment="1">
      <alignment vertical="center"/>
    </xf>
    <xf numFmtId="0" fontId="2" fillId="0" borderId="0" applyAlignment="1">
      <alignment vertical="center"/>
    </xf>
    <xf numFmtId="41" fontId="2" fillId="0" borderId="0" applyAlignment="1">
      <alignment vertical="center"/>
    </xf>
    <xf numFmtId="0" fontId="6" fillId="0" borderId="0" applyAlignment="1">
      <alignment vertical="center"/>
    </xf>
    <xf numFmtId="41" fontId="2" fillId="0" borderId="0" applyAlignment="1">
      <alignment vertical="center"/>
    </xf>
    <xf numFmtId="0" fontId="153" fillId="0" borderId="0" applyAlignment="1">
      <alignment vertical="center"/>
    </xf>
    <xf numFmtId="9" fontId="2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1" fontId="8" fillId="0" borderId="0" applyAlignment="1">
      <alignment horizontal="center" vertical="center"/>
    </xf>
    <xf numFmtId="41" fontId="8" fillId="0" borderId="0" applyAlignment="1">
      <alignment horizontal="center" vertical="center"/>
    </xf>
    <xf numFmtId="41" fontId="8" fillId="0" borderId="0" applyAlignment="1">
      <alignment horizontal="center" vertical="center"/>
    </xf>
    <xf numFmtId="41" fontId="8" fillId="0" borderId="0" applyAlignment="1">
      <alignment horizontal="center" vertical="center"/>
    </xf>
    <xf numFmtId="41" fontId="8" fillId="0" borderId="0" applyAlignment="1">
      <alignment horizontal="center" vertical="center"/>
    </xf>
    <xf numFmtId="41" fontId="8" fillId="0" borderId="0" applyAlignment="1">
      <alignment horizontal="center" vertical="center"/>
    </xf>
    <xf numFmtId="175" fontId="6" fillId="0" borderId="0" applyProtection="1">
      <protection locked="0" hidden="0"/>
    </xf>
    <xf numFmtId="175" fontId="6" fillId="0" borderId="0" applyProtection="1">
      <protection locked="0" hidden="0"/>
    </xf>
    <xf numFmtId="40" fontId="8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175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175" fontId="6" fillId="0" borderId="0" applyProtection="1">
      <protection locked="0" hidden="0"/>
    </xf>
    <xf numFmtId="0" fontId="6" fillId="0" borderId="0"/>
    <xf numFmtId="175" fontId="6" fillId="0" borderId="0" applyProtection="1">
      <protection locked="0" hidden="0"/>
    </xf>
    <xf numFmtId="40" fontId="8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84" fontId="6" fillId="0" borderId="0"/>
    <xf numFmtId="175" fontId="6" fillId="0" borderId="0" applyProtection="1">
      <protection locked="0" hidden="0"/>
    </xf>
    <xf numFmtId="41" fontId="24" fillId="0" borderId="0"/>
    <xf numFmtId="186" fontId="6" fillId="0" borderId="0" applyProtection="1">
      <protection locked="0" hidden="0"/>
    </xf>
    <xf numFmtId="186" fontId="6" fillId="0" borderId="0" applyProtection="1">
      <protection locked="0" hidden="0"/>
    </xf>
    <xf numFmtId="186" fontId="6" fillId="0" borderId="0" applyProtection="1">
      <protection locked="0" hidden="0"/>
    </xf>
    <xf numFmtId="186" fontId="6" fillId="0" borderId="0" applyProtection="1">
      <protection locked="0" hidden="0"/>
    </xf>
    <xf numFmtId="186" fontId="6" fillId="0" borderId="0" applyProtection="1">
      <protection locked="0" hidden="0"/>
    </xf>
    <xf numFmtId="186" fontId="6" fillId="0" borderId="0" applyProtection="1">
      <protection locked="0" hidden="0"/>
    </xf>
    <xf numFmtId="186" fontId="6" fillId="0" borderId="9" applyProtection="1">
      <protection locked="0" hidden="0"/>
    </xf>
    <xf numFmtId="41" fontId="53" fillId="0" borderId="14" applyAlignment="1">
      <alignment horizontal="center" vertical="center"/>
    </xf>
    <xf numFmtId="0" fontId="6" fillId="0" borderId="0" applyProtection="1">
      <protection locked="0" hidden="0"/>
    </xf>
    <xf numFmtId="0" fontId="6" fillId="5" borderId="16" applyAlignment="1">
      <alignment vertical="center"/>
    </xf>
    <xf numFmtId="41" fontId="54" fillId="0" borderId="2" applyAlignment="1">
      <alignment horizontal="distributed" vertical="center"/>
    </xf>
    <xf numFmtId="175" fontId="6" fillId="0" borderId="0" applyProtection="1">
      <protection locked="0" hidden="0"/>
    </xf>
    <xf numFmtId="40" fontId="8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9" fontId="6" fillId="0" borderId="0"/>
    <xf numFmtId="9" fontId="6" fillId="0" borderId="0" applyAlignment="1">
      <alignment vertical="center"/>
    </xf>
    <xf numFmtId="9" fontId="6" fillId="0" borderId="0" applyAlignment="1">
      <alignment vertical="center"/>
    </xf>
    <xf numFmtId="9" fontId="6" fillId="0" borderId="0" applyAlignment="1">
      <alignment vertical="center"/>
    </xf>
    <xf numFmtId="9" fontId="6" fillId="0" borderId="0"/>
    <xf numFmtId="9" fontId="6" fillId="0" borderId="0" applyAlignment="1">
      <alignment vertical="center"/>
    </xf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204" fontId="6" fillId="0" borderId="0"/>
    <xf numFmtId="205" fontId="6" fillId="0" borderId="0"/>
    <xf numFmtId="206" fontId="6" fillId="0" borderId="17"/>
    <xf numFmtId="204" fontId="6" fillId="0" borderId="0" applyAlignment="1">
      <alignment horizontal="centerContinuous" vertical="center"/>
    </xf>
    <xf numFmtId="207" fontId="6" fillId="0" borderId="17"/>
    <xf numFmtId="0" fontId="6" fillId="0" borderId="17"/>
    <xf numFmtId="41" fontId="6" fillId="0" borderId="0"/>
    <xf numFmtId="41" fontId="6" fillId="0" borderId="0" applyAlignment="1">
      <alignment vertical="center"/>
    </xf>
    <xf numFmtId="41" fontId="8" fillId="0" borderId="0"/>
    <xf numFmtId="41" fontId="6" fillId="0" borderId="0"/>
    <xf numFmtId="41" fontId="6" fillId="0" borderId="0" applyAlignment="1">
      <alignment vertical="center"/>
    </xf>
    <xf numFmtId="41" fontId="6" fillId="0" borderId="0"/>
    <xf numFmtId="41" fontId="6" fillId="0" borderId="0"/>
    <xf numFmtId="41" fontId="7" fillId="0" borderId="0" applyAlignment="1">
      <alignment vertical="center"/>
    </xf>
    <xf numFmtId="41" fontId="6" fillId="0" borderId="0"/>
    <xf numFmtId="41" fontId="7" fillId="0" borderId="0" applyAlignment="1">
      <alignment vertical="center"/>
    </xf>
    <xf numFmtId="41" fontId="96" fillId="0" borderId="0" applyAlignment="1">
      <alignment vertical="center"/>
    </xf>
    <xf numFmtId="211" fontId="6" fillId="0" borderId="0"/>
    <xf numFmtId="175" fontId="6" fillId="0" borderId="0" applyProtection="1">
      <protection locked="0" hidden="0"/>
    </xf>
    <xf numFmtId="40" fontId="8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212" fontId="6" fillId="0" borderId="0" applyAlignment="1">
      <alignment vertical="center"/>
    </xf>
    <xf numFmtId="41" fontId="6" fillId="0" borderId="0"/>
    <xf numFmtId="214" fontId="6" fillId="0" borderId="0" applyAlignment="1">
      <alignment vertical="center"/>
    </xf>
    <xf numFmtId="40" fontId="6" fillId="0" borderId="0" applyAlignment="1">
      <alignment vertical="center"/>
    </xf>
    <xf numFmtId="175" fontId="6" fillId="0" borderId="0" applyProtection="1">
      <protection locked="0" hidden="0"/>
    </xf>
    <xf numFmtId="40" fontId="8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42" fontId="6" fillId="0" borderId="0"/>
    <xf numFmtId="42" fontId="6" fillId="0" borderId="0"/>
    <xf numFmtId="175" fontId="6" fillId="0" borderId="0" applyProtection="1">
      <protection locked="0" hidden="0"/>
    </xf>
    <xf numFmtId="40" fontId="8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175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Protection="1">
      <protection locked="0" hidden="0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/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41" fontId="149" fillId="0" borderId="0" applyAlignment="1">
      <alignment vertical="center"/>
    </xf>
    <xf numFmtId="0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9" fontId="2" fillId="0" borderId="0" applyAlignment="1">
      <alignment vertical="center"/>
    </xf>
  </cellStyleXfs>
  <cellXfs count="880">
    <xf numFmtId="0" fontId="0" fillId="0" borderId="0" pivotButton="0" quotePrefix="0" xfId="0"/>
    <xf numFmtId="0" fontId="97" fillId="0" borderId="58" applyAlignment="1" pivotButton="0" quotePrefix="0" xfId="0">
      <alignment vertical="center"/>
    </xf>
    <xf numFmtId="0" fontId="97" fillId="0" borderId="59" applyAlignment="1" pivotButton="0" quotePrefix="0" xfId="0">
      <alignment vertical="center"/>
    </xf>
    <xf numFmtId="0" fontId="97" fillId="0" borderId="60" applyAlignment="1" pivotButton="0" quotePrefix="0" xfId="0">
      <alignment vertical="center"/>
    </xf>
    <xf numFmtId="0" fontId="97" fillId="0" borderId="0" applyAlignment="1" pivotButton="0" quotePrefix="0" xfId="0">
      <alignment vertical="center"/>
    </xf>
    <xf numFmtId="0" fontId="99" fillId="0" borderId="62" applyAlignment="1" pivotButton="0" quotePrefix="0" xfId="0">
      <alignment vertical="center"/>
    </xf>
    <xf numFmtId="0" fontId="99" fillId="0" borderId="0" applyAlignment="1" pivotButton="0" quotePrefix="0" xfId="0">
      <alignment vertical="center"/>
    </xf>
    <xf numFmtId="0" fontId="101" fillId="0" borderId="61" applyAlignment="1" pivotButton="0" quotePrefix="0" xfId="0">
      <alignment horizontal="center" vertical="top"/>
    </xf>
    <xf numFmtId="0" fontId="101" fillId="0" borderId="0" applyAlignment="1" pivotButton="0" quotePrefix="0" xfId="0">
      <alignment horizontal="center" vertical="top"/>
    </xf>
    <xf numFmtId="0" fontId="103" fillId="0" borderId="62" applyAlignment="1" pivotButton="0" quotePrefix="0" xfId="0">
      <alignment vertical="center"/>
    </xf>
    <xf numFmtId="0" fontId="99" fillId="0" borderId="61" applyAlignment="1" pivotButton="0" quotePrefix="0" xfId="0">
      <alignment vertical="center"/>
    </xf>
    <xf numFmtId="0" fontId="107" fillId="0" borderId="61" applyAlignment="1" pivotButton="0" quotePrefix="0" xfId="0">
      <alignment vertical="center"/>
    </xf>
    <xf numFmtId="0" fontId="109" fillId="0" borderId="29" applyAlignment="1" pivotButton="0" quotePrefix="0" xfId="0">
      <alignment vertical="center" wrapText="1"/>
    </xf>
    <xf numFmtId="0" fontId="108" fillId="32" borderId="45" applyAlignment="1" pivotButton="0" quotePrefix="0" xfId="0">
      <alignment vertical="center" wrapText="1"/>
    </xf>
    <xf numFmtId="0" fontId="108" fillId="0" borderId="31" applyAlignment="1" pivotButton="0" quotePrefix="0" xfId="0">
      <alignment vertical="center" wrapText="1"/>
    </xf>
    <xf numFmtId="0" fontId="113" fillId="0" borderId="62" applyAlignment="1" pivotButton="0" quotePrefix="0" xfId="0">
      <alignment vertical="center" wrapText="1"/>
    </xf>
    <xf numFmtId="0" fontId="106" fillId="0" borderId="61" applyAlignment="1" pivotButton="0" quotePrefix="0" xfId="0">
      <alignment vertical="center"/>
    </xf>
    <xf numFmtId="0" fontId="106" fillId="0" borderId="0" applyAlignment="1" pivotButton="0" quotePrefix="0" xfId="0">
      <alignment vertical="center"/>
    </xf>
    <xf numFmtId="0" fontId="108" fillId="32" borderId="54" applyAlignment="1" pivotButton="0" quotePrefix="0" xfId="0">
      <alignment vertical="center" wrapText="1"/>
    </xf>
    <xf numFmtId="0" fontId="108" fillId="0" borderId="55" applyAlignment="1" pivotButton="0" quotePrefix="0" xfId="0">
      <alignment vertical="center" wrapText="1"/>
    </xf>
    <xf numFmtId="0" fontId="114" fillId="0" borderId="61" applyAlignment="1" pivotButton="0" quotePrefix="0" xfId="0">
      <alignment vertical="center"/>
    </xf>
    <xf numFmtId="0" fontId="114" fillId="33" borderId="46" applyAlignment="1" pivotButton="0" quotePrefix="0" xfId="0">
      <alignment vertical="center"/>
    </xf>
    <xf numFmtId="0" fontId="114" fillId="0" borderId="62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99" fillId="33" borderId="46" applyAlignment="1" pivotButton="0" quotePrefix="0" xfId="0">
      <alignment vertical="center"/>
    </xf>
    <xf numFmtId="0" fontId="115" fillId="0" borderId="61" applyAlignment="1" pivotButton="0" quotePrefix="0" xfId="0">
      <alignment vertical="center"/>
    </xf>
    <xf numFmtId="0" fontId="115" fillId="33" borderId="46" applyAlignment="1" pivotButton="0" quotePrefix="0" xfId="0">
      <alignment vertical="center"/>
    </xf>
    <xf numFmtId="0" fontId="115" fillId="0" borderId="62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0" fontId="119" fillId="0" borderId="61" applyAlignment="1" pivotButton="0" quotePrefix="0" xfId="0">
      <alignment vertical="center"/>
    </xf>
    <xf numFmtId="0" fontId="119" fillId="0" borderId="62" applyAlignment="1" pivotButton="0" quotePrefix="0" xfId="0">
      <alignment vertical="center"/>
    </xf>
    <xf numFmtId="0" fontId="119" fillId="0" borderId="0" applyAlignment="1" pivotButton="0" quotePrefix="0" xfId="0">
      <alignment vertical="center"/>
    </xf>
    <xf numFmtId="0" fontId="119" fillId="0" borderId="63" applyAlignment="1" pivotButton="0" quotePrefix="0" xfId="0">
      <alignment vertical="center"/>
    </xf>
    <xf numFmtId="0" fontId="119" fillId="0" borderId="64" applyAlignment="1" pivotButton="0" quotePrefix="0" xfId="0">
      <alignment vertical="center"/>
    </xf>
    <xf numFmtId="0" fontId="119" fillId="0" borderId="65" applyAlignment="1" pivotButton="0" quotePrefix="0" xfId="0">
      <alignment vertical="center"/>
    </xf>
    <xf numFmtId="0" fontId="97" fillId="0" borderId="0" pivotButton="0" quotePrefix="0" xfId="0"/>
    <xf numFmtId="0" fontId="123" fillId="0" borderId="0" pivotButton="0" quotePrefix="0" xfId="0"/>
    <xf numFmtId="0" fontId="120" fillId="0" borderId="0" applyAlignment="1" pivotButton="0" quotePrefix="0" xfId="0">
      <alignment horizontal="center" vertical="center"/>
    </xf>
    <xf numFmtId="0" fontId="125" fillId="0" borderId="0" applyAlignment="1" pivotButton="0" quotePrefix="0" xfId="0">
      <alignment vertical="center"/>
    </xf>
    <xf numFmtId="0" fontId="125" fillId="28" borderId="35" applyAlignment="1" pivotButton="0" quotePrefix="0" xfId="0">
      <alignment horizontal="center" vertical="center"/>
    </xf>
    <xf numFmtId="0" fontId="125" fillId="28" borderId="34" applyAlignment="1" pivotButton="0" quotePrefix="0" xfId="0">
      <alignment horizontal="center" vertical="center" wrapText="1"/>
    </xf>
    <xf numFmtId="0" fontId="125" fillId="28" borderId="36" applyAlignment="1" pivotButton="0" quotePrefix="0" xfId="0">
      <alignment horizontal="center" vertical="center" wrapText="1"/>
    </xf>
    <xf numFmtId="0" fontId="125" fillId="28" borderId="37" applyAlignment="1" pivotButton="0" quotePrefix="0" xfId="0">
      <alignment horizontal="center" vertical="center"/>
    </xf>
    <xf numFmtId="0" fontId="125" fillId="28" borderId="36" applyAlignment="1" pivotButton="0" quotePrefix="0" xfId="0">
      <alignment horizontal="center" vertical="center"/>
    </xf>
    <xf numFmtId="0" fontId="125" fillId="28" borderId="35" applyAlignment="1" pivotButton="0" quotePrefix="0" xfId="0">
      <alignment horizontal="right" vertical="center"/>
    </xf>
    <xf numFmtId="0" fontId="123" fillId="28" borderId="32" applyAlignment="1" pivotButton="0" quotePrefix="0" xfId="0">
      <alignment horizontal="center" vertical="center"/>
    </xf>
    <xf numFmtId="164" fontId="126" fillId="0" borderId="34" applyAlignment="1" pivotButton="0" quotePrefix="0" xfId="1267">
      <alignment vertical="center"/>
    </xf>
    <xf numFmtId="164" fontId="126" fillId="0" borderId="32" applyAlignment="1" pivotButton="0" quotePrefix="0" xfId="1267">
      <alignment vertical="center"/>
    </xf>
    <xf numFmtId="0" fontId="126" fillId="28" borderId="34" applyAlignment="1" pivotButton="0" quotePrefix="0" xfId="0">
      <alignment horizontal="center" vertical="center"/>
    </xf>
    <xf numFmtId="165" fontId="126" fillId="0" borderId="34" applyAlignment="1" pivotButton="0" quotePrefix="0" xfId="1235">
      <alignment horizontal="center" vertical="center"/>
    </xf>
    <xf numFmtId="166" fontId="126" fillId="0" borderId="32" applyAlignment="1" pivotButton="0" quotePrefix="0" xfId="0">
      <alignment horizontal="right" vertical="center"/>
    </xf>
    <xf numFmtId="166" fontId="122" fillId="29" borderId="32" applyAlignment="1" pivotButton="0" quotePrefix="0" xfId="0">
      <alignment vertical="center"/>
    </xf>
    <xf numFmtId="0" fontId="125" fillId="0" borderId="35" applyAlignment="1" pivotButton="0" quotePrefix="0" xfId="0">
      <alignment vertical="center"/>
    </xf>
    <xf numFmtId="0" fontId="125" fillId="0" borderId="35" applyAlignment="1" pivotButton="0" quotePrefix="0" xfId="0">
      <alignment horizontal="center" vertical="center"/>
    </xf>
    <xf numFmtId="0" fontId="125" fillId="28" borderId="42" applyAlignment="1" pivotButton="0" quotePrefix="0" xfId="0">
      <alignment horizontal="right" vertical="center"/>
    </xf>
    <xf numFmtId="0" fontId="127" fillId="28" borderId="39" applyAlignment="1" pivotButton="0" quotePrefix="0" xfId="0">
      <alignment vertical="center"/>
    </xf>
    <xf numFmtId="166" fontId="125" fillId="28" borderId="40" applyAlignment="1" pivotButton="0" quotePrefix="0" xfId="0">
      <alignment vertical="center"/>
    </xf>
    <xf numFmtId="164" fontId="126" fillId="0" borderId="32" applyAlignment="1" pivotButton="0" quotePrefix="0" xfId="1270">
      <alignment vertical="center"/>
    </xf>
    <xf numFmtId="0" fontId="123" fillId="28" borderId="34" applyAlignment="1" pivotButton="0" quotePrefix="0" xfId="0">
      <alignment horizontal="center" vertical="center"/>
    </xf>
    <xf numFmtId="164" fontId="126" fillId="0" borderId="34" applyAlignment="1" pivotButton="0" quotePrefix="0" xfId="1270">
      <alignment vertical="center"/>
    </xf>
    <xf numFmtId="0" fontId="122" fillId="0" borderId="35" applyAlignment="1" pivotButton="0" quotePrefix="0" xfId="0">
      <alignment horizontal="right" vertical="center"/>
    </xf>
    <xf numFmtId="0" fontId="122" fillId="0" borderId="35" applyAlignment="1" pivotButton="0" quotePrefix="0" xfId="0">
      <alignment horizontal="left" vertical="center"/>
    </xf>
    <xf numFmtId="0" fontId="127" fillId="0" borderId="35" applyAlignment="1" pivotButton="0" quotePrefix="0" xfId="0">
      <alignment vertical="center"/>
    </xf>
    <xf numFmtId="0" fontId="102" fillId="0" borderId="0" applyAlignment="1" pivotButton="0" quotePrefix="0" xfId="0">
      <alignment horizontal="right"/>
    </xf>
    <xf numFmtId="0" fontId="108" fillId="0" borderId="49" applyAlignment="1" pivotButton="0" quotePrefix="0" xfId="0">
      <alignment horizontal="center" vertical="center"/>
    </xf>
    <xf numFmtId="0" fontId="108" fillId="0" borderId="35" applyAlignment="1" pivotButton="0" quotePrefix="0" xfId="0">
      <alignment horizontal="center" vertical="center"/>
    </xf>
    <xf numFmtId="0" fontId="125" fillId="28" borderId="34" applyAlignment="1" pivotButton="0" quotePrefix="0" xfId="0">
      <alignment vertical="center"/>
    </xf>
    <xf numFmtId="0" fontId="108" fillId="0" borderId="43" applyAlignment="1" pivotButton="0" quotePrefix="0" xfId="0">
      <alignment vertical="center" wrapText="1"/>
    </xf>
    <xf numFmtId="31" fontId="108" fillId="0" borderId="31" applyAlignment="1" pivotButton="0" quotePrefix="0" xfId="0">
      <alignment vertical="center"/>
    </xf>
    <xf numFmtId="0" fontId="108" fillId="0" borderId="31" applyAlignment="1" pivotButton="0" quotePrefix="0" xfId="0">
      <alignment vertical="center"/>
    </xf>
    <xf numFmtId="0" fontId="108" fillId="0" borderId="43" applyAlignment="1" pivotButton="0" quotePrefix="0" xfId="0">
      <alignment vertical="center"/>
    </xf>
    <xf numFmtId="166" fontId="125" fillId="0" borderId="32" applyAlignment="1" pivotButton="0" quotePrefix="0" xfId="0">
      <alignment horizontal="right" vertical="center"/>
    </xf>
    <xf numFmtId="167" fontId="130" fillId="31" borderId="35" applyAlignment="1" pivotButton="0" quotePrefix="0" xfId="0">
      <alignment horizontal="right" vertical="center" shrinkToFit="1"/>
    </xf>
    <xf numFmtId="166" fontId="130" fillId="31" borderId="34" applyAlignment="1" pivotButton="0" quotePrefix="0" xfId="0">
      <alignment vertical="center"/>
    </xf>
    <xf numFmtId="0" fontId="123" fillId="0" borderId="0" applyAlignment="1" pivotButton="0" quotePrefix="0" xfId="0">
      <alignment horizontal="center" vertical="center"/>
    </xf>
    <xf numFmtId="165" fontId="126" fillId="0" borderId="34" applyAlignment="1" pivotButton="0" quotePrefix="0" xfId="1235">
      <alignment horizontal="center"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68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1267">
      <alignment horizontal="center" vertical="center"/>
    </xf>
    <xf numFmtId="0" fontId="13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1"/>
    </xf>
    <xf numFmtId="0" fontId="135" fillId="36" borderId="0" applyAlignment="1" pivotButton="0" quotePrefix="0" xfId="0">
      <alignment horizontal="left" vertical="center" indent="1"/>
    </xf>
    <xf numFmtId="0" fontId="123" fillId="28" borderId="34" applyAlignment="1" pivotButton="0" quotePrefix="0" xfId="0">
      <alignment horizontal="left" vertical="center"/>
    </xf>
    <xf numFmtId="0" fontId="125" fillId="28" borderId="42" applyAlignment="1" pivotButton="0" quotePrefix="0" xfId="0">
      <alignment horizontal="left" vertical="center"/>
    </xf>
    <xf numFmtId="0" fontId="125" fillId="28" borderId="42" applyAlignment="1" pivotButton="0" quotePrefix="0" xfId="0">
      <alignment horizontal="center" vertical="center"/>
    </xf>
    <xf numFmtId="0" fontId="127" fillId="28" borderId="42" applyAlignment="1" pivotButton="0" quotePrefix="0" xfId="0">
      <alignment vertical="center"/>
    </xf>
    <xf numFmtId="0" fontId="125" fillId="37" borderId="35" applyAlignment="1" pivotButton="0" quotePrefix="0" xfId="0">
      <alignment horizontal="center" vertical="center"/>
    </xf>
    <xf numFmtId="0" fontId="125" fillId="37" borderId="34" applyAlignment="1" pivotButton="0" quotePrefix="0" xfId="0">
      <alignment horizontal="center" vertical="center" wrapText="1"/>
    </xf>
    <xf numFmtId="0" fontId="125" fillId="37" borderId="36" applyAlignment="1" pivotButton="0" quotePrefix="0" xfId="0">
      <alignment horizontal="center" vertical="center" wrapText="1"/>
    </xf>
    <xf numFmtId="0" fontId="125" fillId="37" borderId="36" applyAlignment="1" pivotButton="0" quotePrefix="0" xfId="0">
      <alignment horizontal="center" vertical="center"/>
    </xf>
    <xf numFmtId="0" fontId="125" fillId="37" borderId="35" applyAlignment="1" pivotButton="0" quotePrefix="0" xfId="0">
      <alignment horizontal="right" vertical="center"/>
    </xf>
    <xf numFmtId="0" fontId="125" fillId="37" borderId="34" applyAlignment="1" pivotButton="0" quotePrefix="0" xfId="0">
      <alignment vertical="center"/>
    </xf>
    <xf numFmtId="0" fontId="127" fillId="37" borderId="32" applyAlignment="1" pivotButton="0" quotePrefix="0" xfId="0">
      <alignment vertical="center"/>
    </xf>
    <xf numFmtId="0" fontId="126" fillId="37" borderId="35" applyAlignment="1" pivotButton="0" quotePrefix="0" xfId="0">
      <alignment vertical="center"/>
    </xf>
    <xf numFmtId="0" fontId="126" fillId="37" borderId="34" applyAlignment="1" pivotButton="0" quotePrefix="0" xfId="0">
      <alignment vertical="center"/>
    </xf>
    <xf numFmtId="0" fontId="126" fillId="37" borderId="32" applyAlignment="1" pivotButton="0" quotePrefix="0" xfId="0">
      <alignment horizontal="center" vertical="center"/>
    </xf>
    <xf numFmtId="0" fontId="123" fillId="37" borderId="35" applyAlignment="1" pivotButton="0" quotePrefix="0" xfId="0">
      <alignment vertical="center"/>
    </xf>
    <xf numFmtId="0" fontId="123" fillId="37" borderId="34" applyAlignment="1" pivotButton="0" quotePrefix="0" xfId="0">
      <alignment vertical="center"/>
    </xf>
    <xf numFmtId="0" fontId="122" fillId="37" borderId="35" applyAlignment="1" pivotButton="0" quotePrefix="0" xfId="0">
      <alignment horizontal="right" vertical="center"/>
    </xf>
    <xf numFmtId="0" fontId="122" fillId="37" borderId="34" applyAlignment="1" pivotButton="0" quotePrefix="0" xfId="0">
      <alignment horizontal="left" vertical="center"/>
    </xf>
    <xf numFmtId="0" fontId="122" fillId="37" borderId="35" applyAlignment="1" pivotButton="0" quotePrefix="0" xfId="0">
      <alignment horizontal="left" vertical="center"/>
    </xf>
    <xf numFmtId="0" fontId="125" fillId="37" borderId="42" applyAlignment="1" pivotButton="0" quotePrefix="0" xfId="0">
      <alignment horizontal="right" vertical="center"/>
    </xf>
    <xf numFmtId="0" fontId="125" fillId="37" borderId="42" applyAlignment="1" pivotButton="0" quotePrefix="0" xfId="0">
      <alignment horizontal="left" vertical="center"/>
    </xf>
    <xf numFmtId="0" fontId="127" fillId="37" borderId="42" applyAlignment="1" pivotButton="0" quotePrefix="0" xfId="0">
      <alignment vertical="center"/>
    </xf>
    <xf numFmtId="0" fontId="127" fillId="37" borderId="39" applyAlignment="1" pivotButton="0" quotePrefix="0" xfId="0">
      <alignment vertical="center"/>
    </xf>
    <xf numFmtId="166" fontId="125" fillId="37" borderId="40" applyAlignment="1" pivotButton="0" quotePrefix="0" xfId="0">
      <alignment vertical="center"/>
    </xf>
    <xf numFmtId="0" fontId="122" fillId="0" borderId="0" applyAlignment="1" pivotButton="0" quotePrefix="0" xfId="0">
      <alignment vertical="center"/>
    </xf>
    <xf numFmtId="0" fontId="123" fillId="0" borderId="0" applyAlignment="1" pivotButton="0" quotePrefix="0" xfId="0">
      <alignment vertical="center"/>
    </xf>
    <xf numFmtId="0" fontId="122" fillId="0" borderId="61" applyAlignment="1" pivotButton="0" quotePrefix="0" xfId="0">
      <alignment horizontal="left" vertical="center"/>
    </xf>
    <xf numFmtId="0" fontId="122" fillId="0" borderId="0" applyAlignment="1" pivotButton="0" quotePrefix="0" xfId="0">
      <alignment horizontal="left" vertical="center"/>
    </xf>
    <xf numFmtId="0" fontId="123" fillId="0" borderId="62" applyAlignment="1" pivotButton="0" quotePrefix="0" xfId="0">
      <alignment horizontal="center" vertical="center"/>
    </xf>
    <xf numFmtId="0" fontId="123" fillId="0" borderId="61" applyAlignment="1" pivotButton="0" quotePrefix="0" xfId="0">
      <alignment horizontal="left" vertical="center" indent="1"/>
    </xf>
    <xf numFmtId="0" fontId="123" fillId="0" borderId="0" applyAlignment="1" pivotButton="0" quotePrefix="0" xfId="0">
      <alignment horizontal="left" vertical="center" indent="1"/>
    </xf>
    <xf numFmtId="0" fontId="123" fillId="0" borderId="61" applyAlignment="1" pivotButton="0" quotePrefix="0" xfId="0">
      <alignment horizontal="left"/>
    </xf>
    <xf numFmtId="0" fontId="123" fillId="0" borderId="0" applyAlignment="1" pivotButton="0" quotePrefix="0" xfId="0">
      <alignment horizontal="left" vertical="center"/>
    </xf>
    <xf numFmtId="0" fontId="122" fillId="0" borderId="61" applyAlignment="1" pivotButton="0" quotePrefix="0" xfId="0">
      <alignment vertical="center"/>
    </xf>
    <xf numFmtId="0" fontId="122" fillId="0" borderId="62" applyAlignment="1" pivotButton="0" quotePrefix="0" xfId="0">
      <alignment vertical="center"/>
    </xf>
    <xf numFmtId="0" fontId="123" fillId="0" borderId="61" applyAlignment="1" pivotButton="0" quotePrefix="0" xfId="0">
      <alignment vertical="center"/>
    </xf>
    <xf numFmtId="0" fontId="123" fillId="0" borderId="62" applyAlignment="1" pivotButton="0" quotePrefix="0" xfId="0">
      <alignment vertical="center" wrapText="1"/>
    </xf>
    <xf numFmtId="0" fontId="123" fillId="0" borderId="62" applyAlignment="1" pivotButton="0" quotePrefix="0" xfId="0">
      <alignment vertical="center"/>
    </xf>
    <xf numFmtId="0" fontId="97" fillId="0" borderId="63" pivotButton="0" quotePrefix="0" xfId="0"/>
    <xf numFmtId="0" fontId="97" fillId="0" borderId="64" pivotButton="0" quotePrefix="0" xfId="0"/>
    <xf numFmtId="0" fontId="97" fillId="0" borderId="65" pivotButton="0" quotePrefix="0" xfId="0"/>
    <xf numFmtId="0" fontId="122" fillId="0" borderId="0" applyAlignment="1" pivotButton="0" quotePrefix="0" xfId="0">
      <alignment horizontal="center" vertical="center"/>
    </xf>
    <xf numFmtId="169" fontId="123" fillId="0" borderId="32" applyAlignment="1" pivotButton="0" quotePrefix="0" xfId="1267">
      <alignment horizontal="center" vertical="center"/>
    </xf>
    <xf numFmtId="0" fontId="125" fillId="34" borderId="34" applyAlignment="1" pivotButton="0" quotePrefix="0" xfId="0">
      <alignment horizontal="center" vertical="center" wrapText="1"/>
    </xf>
    <xf numFmtId="0" fontId="125" fillId="34" borderId="36" applyAlignment="1" pivotButton="0" quotePrefix="0" xfId="0">
      <alignment horizontal="center" vertical="center" wrapText="1"/>
    </xf>
    <xf numFmtId="0" fontId="125" fillId="34" borderId="36" applyAlignment="1" pivotButton="0" quotePrefix="0" xfId="0">
      <alignment horizontal="center" vertical="center"/>
    </xf>
    <xf numFmtId="0" fontId="125" fillId="34" borderId="35" applyAlignment="1" pivotButton="0" quotePrefix="0" xfId="0">
      <alignment horizontal="right" vertical="center"/>
    </xf>
    <xf numFmtId="0" fontId="125" fillId="34" borderId="34" applyAlignment="1" pivotButton="0" quotePrefix="0" xfId="0">
      <alignment vertical="center"/>
    </xf>
    <xf numFmtId="0" fontId="127" fillId="34" borderId="32" applyAlignment="1" pivotButton="0" quotePrefix="0" xfId="0">
      <alignment vertical="center"/>
    </xf>
    <xf numFmtId="0" fontId="126" fillId="34" borderId="35" applyAlignment="1" pivotButton="0" quotePrefix="0" xfId="0">
      <alignment vertical="center"/>
    </xf>
    <xf numFmtId="0" fontId="126" fillId="34" borderId="34" applyAlignment="1" pivotButton="0" quotePrefix="0" xfId="0">
      <alignment vertical="center"/>
    </xf>
    <xf numFmtId="0" fontId="126" fillId="34" borderId="32" applyAlignment="1" pivotButton="0" quotePrefix="0" xfId="0">
      <alignment horizontal="center" vertical="center"/>
    </xf>
    <xf numFmtId="0" fontId="123" fillId="34" borderId="35" applyAlignment="1" pivotButton="0" quotePrefix="0" xfId="0">
      <alignment vertical="center"/>
    </xf>
    <xf numFmtId="0" fontId="123" fillId="34" borderId="34" applyAlignment="1" pivotButton="0" quotePrefix="0" xfId="0">
      <alignment vertical="center"/>
    </xf>
    <xf numFmtId="0" fontId="122" fillId="34" borderId="35" applyAlignment="1" pivotButton="0" quotePrefix="0" xfId="0">
      <alignment horizontal="right" vertical="center"/>
    </xf>
    <xf numFmtId="0" fontId="122" fillId="34" borderId="34" applyAlignment="1" pivotButton="0" quotePrefix="0" xfId="0">
      <alignment horizontal="left" vertical="center"/>
    </xf>
    <xf numFmtId="0" fontId="122" fillId="34" borderId="35" applyAlignment="1" pivotButton="0" quotePrefix="0" xfId="0">
      <alignment horizontal="left" vertical="center"/>
    </xf>
    <xf numFmtId="0" fontId="125" fillId="34" borderId="42" applyAlignment="1" pivotButton="0" quotePrefix="0" xfId="0">
      <alignment horizontal="right" vertical="center"/>
    </xf>
    <xf numFmtId="0" fontId="125" fillId="34" borderId="42" applyAlignment="1" pivotButton="0" quotePrefix="0" xfId="0">
      <alignment horizontal="left" vertical="center"/>
    </xf>
    <xf numFmtId="0" fontId="127" fillId="34" borderId="42" applyAlignment="1" pivotButton="0" quotePrefix="0" xfId="0">
      <alignment vertical="center"/>
    </xf>
    <xf numFmtId="0" fontId="127" fillId="34" borderId="39" applyAlignment="1" pivotButton="0" quotePrefix="0" xfId="0">
      <alignment vertical="center"/>
    </xf>
    <xf numFmtId="166" fontId="125" fillId="34" borderId="40" applyAlignment="1" pivotButton="0" quotePrefix="0" xfId="0">
      <alignment vertical="center"/>
    </xf>
    <xf numFmtId="0" fontId="125" fillId="34" borderId="35" applyAlignment="1" pivotButton="0" quotePrefix="0" xfId="0">
      <alignment horizontal="center" vertical="center"/>
    </xf>
    <xf numFmtId="0" fontId="138" fillId="0" borderId="114" applyAlignment="1" pivotButton="0" quotePrefix="0" xfId="0">
      <alignment horizontal="center" vertical="center" wrapText="1"/>
    </xf>
    <xf numFmtId="0" fontId="138" fillId="0" borderId="113" applyAlignment="1" pivotButton="0" quotePrefix="0" xfId="0">
      <alignment horizontal="center" vertical="center" wrapText="1"/>
    </xf>
    <xf numFmtId="0" fontId="138" fillId="0" borderId="0" applyAlignment="1" pivotButton="0" quotePrefix="0" xfId="0">
      <alignment vertical="center"/>
    </xf>
    <xf numFmtId="0" fontId="108" fillId="0" borderId="30" applyAlignment="1" pivotButton="0" quotePrefix="0" xfId="0">
      <alignment vertical="center"/>
    </xf>
    <xf numFmtId="0" fontId="125" fillId="0" borderId="0" applyAlignment="1" pivotButton="0" quotePrefix="0" xfId="0">
      <alignment horizontal="center" vertical="center"/>
    </xf>
    <xf numFmtId="166" fontId="122" fillId="0" borderId="0" applyAlignment="1" pivotButton="0" quotePrefix="0" xfId="0">
      <alignment vertical="center"/>
    </xf>
    <xf numFmtId="166" fontId="125" fillId="0" borderId="0" applyAlignment="1" pivotButton="0" quotePrefix="0" xfId="0">
      <alignment vertical="center"/>
    </xf>
    <xf numFmtId="0" fontId="139" fillId="0" borderId="0" applyAlignment="1" pivotButton="0" quotePrefix="0" xfId="0">
      <alignment vertical="center"/>
    </xf>
    <xf numFmtId="169" fontId="122" fillId="0" borderId="0" applyAlignment="1" pivotButton="0" quotePrefix="0" xfId="1267">
      <alignment horizontal="center" vertical="center"/>
    </xf>
    <xf numFmtId="164" fontId="125" fillId="0" borderId="0" applyAlignment="1" pivotButton="0" quotePrefix="0" xfId="1267">
      <alignment vertical="center"/>
    </xf>
    <xf numFmtId="169" fontId="125" fillId="0" borderId="0" applyAlignment="1" pivotButton="0" quotePrefix="0" xfId="0">
      <alignment vertical="center"/>
    </xf>
    <xf numFmtId="164" fontId="125" fillId="0" borderId="0" applyAlignment="1" pivotButton="0" quotePrefix="0" xfId="1270">
      <alignment vertical="center"/>
    </xf>
    <xf numFmtId="0" fontId="122" fillId="0" borderId="0" pivotButton="0" quotePrefix="0" xfId="0"/>
    <xf numFmtId="0" fontId="140" fillId="0" borderId="0" pivotButton="0" quotePrefix="0" xfId="0"/>
    <xf numFmtId="0" fontId="122" fillId="0" borderId="0" applyAlignment="1" pivotButton="0" quotePrefix="0" xfId="0">
      <alignment vertical="center" wrapText="1"/>
    </xf>
    <xf numFmtId="168" fontId="122" fillId="0" borderId="0" applyAlignment="1" pivotButton="0" quotePrefix="0" xfId="0">
      <alignment horizontal="center" vertical="center" wrapText="1"/>
    </xf>
    <xf numFmtId="0" fontId="122" fillId="0" borderId="92" applyAlignment="1" pivotButton="0" quotePrefix="0" xfId="0">
      <alignment horizontal="center" vertical="center"/>
    </xf>
    <xf numFmtId="0" fontId="122" fillId="0" borderId="92" applyAlignment="1" pivotButton="0" quotePrefix="0" xfId="0">
      <alignment horizontal="center" vertical="center" wrapText="1"/>
    </xf>
    <xf numFmtId="164" fontId="125" fillId="0" borderId="30" applyAlignment="1" pivotButton="0" quotePrefix="0" xfId="1267">
      <alignment vertical="center"/>
    </xf>
    <xf numFmtId="164" fontId="125" fillId="0" borderId="84" applyAlignment="1" pivotButton="0" quotePrefix="0" xfId="1270">
      <alignment vertical="center"/>
    </xf>
    <xf numFmtId="0" fontId="140" fillId="0" borderId="84" pivotButton="0" quotePrefix="0" xfId="0"/>
    <xf numFmtId="0" fontId="125" fillId="0" borderId="90" applyAlignment="1" pivotButton="0" quotePrefix="0" xfId="0">
      <alignment vertical="center"/>
    </xf>
    <xf numFmtId="0" fontId="125" fillId="0" borderId="29" applyAlignment="1" pivotButton="0" quotePrefix="0" xfId="0">
      <alignment vertical="center"/>
    </xf>
    <xf numFmtId="165" fontId="125" fillId="0" borderId="29" applyAlignment="1" pivotButton="0" quotePrefix="0" xfId="1235">
      <alignment horizontal="center" vertical="center"/>
    </xf>
    <xf numFmtId="166" fontId="125" fillId="0" borderId="29" applyAlignment="1" pivotButton="0" quotePrefix="0" xfId="0">
      <alignment horizontal="right" vertical="center"/>
    </xf>
    <xf numFmtId="166" fontId="125" fillId="0" borderId="29" applyAlignment="1" pivotButton="0" quotePrefix="0" xfId="0">
      <alignment vertical="center"/>
    </xf>
    <xf numFmtId="166" fontId="125" fillId="0" borderId="91" applyAlignment="1" pivotButton="0" quotePrefix="0" xfId="0">
      <alignment vertical="center"/>
    </xf>
    <xf numFmtId="166" fontId="125" fillId="0" borderId="89" applyAlignment="1" pivotButton="0" quotePrefix="0" xfId="0">
      <alignment horizontal="right" vertical="center"/>
    </xf>
    <xf numFmtId="0" fontId="125" fillId="0" borderId="89" applyAlignment="1" pivotButton="0" quotePrefix="0" xfId="0">
      <alignment horizontal="center" vertical="center"/>
    </xf>
    <xf numFmtId="0" fontId="122" fillId="0" borderId="89" pivotButton="0" quotePrefix="0" xfId="0"/>
    <xf numFmtId="0" fontId="122" fillId="0" borderId="90" applyAlignment="1" pivotButton="0" quotePrefix="0" xfId="0">
      <alignment horizontal="center" vertical="center"/>
    </xf>
    <xf numFmtId="0" fontId="122" fillId="0" borderId="90" pivotButton="0" quotePrefix="0" xfId="0"/>
    <xf numFmtId="0" fontId="122" fillId="0" borderId="93" pivotButton="0" quotePrefix="0" xfId="0"/>
    <xf numFmtId="0" fontId="122" fillId="0" borderId="92" pivotButton="0" quotePrefix="0" xfId="0"/>
    <xf numFmtId="0" fontId="123" fillId="0" borderId="92" pivotButton="0" quotePrefix="0" xfId="0"/>
    <xf numFmtId="0" fontId="125" fillId="0" borderId="61" applyAlignment="1" pivotButton="0" quotePrefix="0" xfId="0">
      <alignment horizontal="center" vertical="center"/>
    </xf>
    <xf numFmtId="0" fontId="122" fillId="0" borderId="62" pivotButton="0" quotePrefix="0" xfId="0"/>
    <xf numFmtId="0" fontId="125" fillId="0" borderId="61" applyAlignment="1" pivotButton="0" quotePrefix="0" xfId="0">
      <alignment vertical="center"/>
    </xf>
    <xf numFmtId="0" fontId="125" fillId="0" borderId="61" applyAlignment="1" pivotButton="0" quotePrefix="0" xfId="0">
      <alignment horizontal="right" vertical="center"/>
    </xf>
    <xf numFmtId="0" fontId="140" fillId="0" borderId="62" pivotButton="0" quotePrefix="0" xfId="0"/>
    <xf numFmtId="0" fontId="122" fillId="0" borderId="61" applyAlignment="1" pivotButton="0" quotePrefix="0" xfId="0">
      <alignment horizontal="right" vertical="center"/>
    </xf>
    <xf numFmtId="0" fontId="122" fillId="0" borderId="61" applyAlignment="1" pivotButton="0" quotePrefix="0" xfId="0">
      <alignment horizontal="left" vertical="center" indent="1"/>
    </xf>
    <xf numFmtId="0" fontId="122" fillId="0" borderId="61" applyAlignment="1" pivotButton="0" quotePrefix="0" xfId="0">
      <alignment horizontal="left"/>
    </xf>
    <xf numFmtId="0" fontId="122" fillId="0" borderId="61" pivotButton="0" quotePrefix="0" xfId="0"/>
    <xf numFmtId="0" fontId="123" fillId="0" borderId="61" pivotButton="0" quotePrefix="0" xfId="0"/>
    <xf numFmtId="0" fontId="123" fillId="0" borderId="62" pivotButton="0" quotePrefix="0" xfId="0"/>
    <xf numFmtId="0" fontId="143" fillId="0" borderId="64" applyAlignment="1" pivotButton="0" quotePrefix="0" xfId="0">
      <alignment vertical="center"/>
    </xf>
    <xf numFmtId="0" fontId="142" fillId="0" borderId="0" applyAlignment="1" pivotButton="0" quotePrefix="0" xfId="0">
      <alignment horizontal="center" vertical="center"/>
    </xf>
    <xf numFmtId="0" fontId="143" fillId="0" borderId="0" applyAlignment="1" pivotButton="0" quotePrefix="0" xfId="0">
      <alignment vertical="center"/>
    </xf>
    <xf numFmtId="0" fontId="142" fillId="0" borderId="29" applyAlignment="1" pivotButton="0" quotePrefix="0" xfId="0">
      <alignment vertical="center"/>
    </xf>
    <xf numFmtId="0" fontId="145" fillId="36" borderId="0" applyAlignment="1" pivotButton="0" quotePrefix="0" xfId="0">
      <alignment horizontal="left" vertical="center" indent="1"/>
    </xf>
    <xf numFmtId="0" fontId="144" fillId="36" borderId="0" applyAlignment="1" pivotButton="0" quotePrefix="0" xfId="0">
      <alignment horizontal="right" vertical="center" indent="2"/>
    </xf>
    <xf numFmtId="0" fontId="146" fillId="36" borderId="0" applyAlignment="1" pivotButton="0" quotePrefix="0" xfId="0">
      <alignment horizontal="left" vertical="center" indent="1"/>
    </xf>
    <xf numFmtId="164" fontId="141" fillId="0" borderId="0" applyAlignment="1" pivotButton="0" quotePrefix="0" xfId="1267">
      <alignment vertical="center"/>
    </xf>
    <xf numFmtId="0" fontId="140" fillId="0" borderId="91" pivotButton="0" quotePrefix="0" xfId="0"/>
    <xf numFmtId="168" fontId="138" fillId="0" borderId="114" applyAlignment="1" pivotButton="0" quotePrefix="0" xfId="0">
      <alignment horizontal="center" vertical="center" wrapText="1"/>
    </xf>
    <xf numFmtId="168" fontId="138" fillId="0" borderId="113" applyAlignment="1" pivotButton="0" quotePrefix="0" xfId="0">
      <alignment horizontal="center" vertical="center" wrapText="1"/>
    </xf>
    <xf numFmtId="0" fontId="148" fillId="32" borderId="32" applyAlignment="1" pivotButton="0" quotePrefix="0" xfId="0">
      <alignment horizontal="center" vertical="center"/>
    </xf>
    <xf numFmtId="0" fontId="138" fillId="0" borderId="135" applyAlignment="1" pivotButton="0" quotePrefix="0" xfId="0">
      <alignment horizontal="center" vertical="center" wrapText="1"/>
    </xf>
    <xf numFmtId="168" fontId="138" fillId="0" borderId="135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/>
    </xf>
    <xf numFmtId="0" fontId="152" fillId="0" borderId="0" applyAlignment="1" pivotButton="0" quotePrefix="0" xfId="0">
      <alignment vertical="center"/>
    </xf>
    <xf numFmtId="0" fontId="152" fillId="35" borderId="2" applyAlignment="1" pivotButton="0" quotePrefix="0" xfId="0">
      <alignment horizontal="center" vertical="center"/>
    </xf>
    <xf numFmtId="169" fontId="151" fillId="0" borderId="2" applyAlignment="1" pivotButton="0" quotePrefix="0" xfId="0">
      <alignment horizontal="center" vertical="center"/>
    </xf>
    <xf numFmtId="0" fontId="151" fillId="0" borderId="0" applyAlignment="1" pivotButton="0" quotePrefix="0" xfId="0">
      <alignment vertical="center"/>
    </xf>
    <xf numFmtId="169" fontId="152" fillId="0" borderId="2" applyAlignment="1" pivotButton="0" quotePrefix="0" xfId="0">
      <alignment horizontal="center" vertical="center"/>
    </xf>
    <xf numFmtId="0" fontId="152" fillId="35" borderId="143" applyAlignment="1" pivotButton="0" quotePrefix="0" xfId="0">
      <alignment horizontal="center" vertical="center"/>
    </xf>
    <xf numFmtId="169" fontId="151" fillId="0" borderId="143" applyAlignment="1" pivotButton="0" quotePrefix="0" xfId="0">
      <alignment horizontal="center" vertical="center"/>
    </xf>
    <xf numFmtId="169" fontId="152" fillId="0" borderId="143" applyAlignment="1" pivotButton="0" quotePrefix="0" xfId="0">
      <alignment horizontal="center" vertical="center"/>
    </xf>
    <xf numFmtId="0" fontId="152" fillId="35" borderId="138" applyAlignment="1" pivotButton="0" quotePrefix="0" xfId="0">
      <alignment horizontal="center" vertical="center"/>
    </xf>
    <xf numFmtId="0" fontId="152" fillId="27" borderId="136" applyAlignment="1" pivotButton="0" quotePrefix="0" xfId="0">
      <alignment horizontal="center" vertical="center"/>
    </xf>
    <xf numFmtId="169" fontId="152" fillId="27" borderId="137" applyAlignment="1" pivotButton="0" quotePrefix="0" xfId="0">
      <alignment horizontal="center" vertical="center"/>
    </xf>
    <xf numFmtId="169" fontId="152" fillId="27" borderId="145" applyAlignment="1" pivotButton="0" quotePrefix="0" xfId="0">
      <alignment horizontal="center" vertical="center"/>
    </xf>
    <xf numFmtId="170" fontId="18" fillId="0" borderId="0" applyAlignment="1" pivotButton="0" quotePrefix="0" xfId="1267">
      <alignment horizontal="center" vertical="center"/>
    </xf>
    <xf numFmtId="0" fontId="108" fillId="0" borderId="0" applyAlignment="1" pivotButton="0" quotePrefix="0" xfId="0">
      <alignment vertical="center"/>
    </xf>
    <xf numFmtId="0" fontId="107" fillId="0" borderId="0" applyAlignment="1" pivotButton="0" quotePrefix="0" xfId="0">
      <alignment vertical="center"/>
    </xf>
    <xf numFmtId="0" fontId="112" fillId="0" borderId="0" applyAlignment="1" pivotButton="0" quotePrefix="0" xfId="0">
      <alignment vertical="center"/>
    </xf>
    <xf numFmtId="0" fontId="108" fillId="0" borderId="0" applyAlignment="1" pivotButton="0" quotePrefix="0" xfId="0">
      <alignment horizontal="center" vertical="center"/>
    </xf>
    <xf numFmtId="0" fontId="111" fillId="0" borderId="0" applyAlignment="1" pivotButton="0" quotePrefix="0" xfId="0">
      <alignment vertical="center"/>
    </xf>
    <xf numFmtId="31" fontId="108" fillId="0" borderId="0" applyAlignment="1" pivotButton="0" quotePrefix="0" xfId="0">
      <alignment vertical="center"/>
    </xf>
    <xf numFmtId="0" fontId="99" fillId="33" borderId="0" applyAlignment="1" pivotButton="0" quotePrefix="0" xfId="0">
      <alignment vertical="center"/>
    </xf>
    <xf numFmtId="0" fontId="106" fillId="33" borderId="0" applyAlignment="1" pivotButton="0" quotePrefix="0" xfId="0">
      <alignment vertical="center"/>
    </xf>
    <xf numFmtId="0" fontId="113" fillId="0" borderId="0" applyAlignment="1" pivotButton="0" quotePrefix="0" xfId="0">
      <alignment vertical="center" wrapText="1"/>
    </xf>
    <xf numFmtId="0" fontId="119" fillId="33" borderId="0" applyAlignment="1" pivotButton="0" quotePrefix="0" xfId="0">
      <alignment vertical="center"/>
    </xf>
    <xf numFmtId="0" fontId="155" fillId="0" borderId="64" applyAlignment="1" pivotButton="0" quotePrefix="0" xfId="1442">
      <alignment vertical="center"/>
    </xf>
    <xf numFmtId="0" fontId="137" fillId="0" borderId="64" applyAlignment="1" pivotButton="0" quotePrefix="0" xfId="1442">
      <alignment vertical="center"/>
    </xf>
    <xf numFmtId="0" fontId="154" fillId="0" borderId="64" applyAlignment="1" pivotButton="0" quotePrefix="0" xfId="1442">
      <alignment vertical="center"/>
    </xf>
    <xf numFmtId="0" fontId="104" fillId="0" borderId="0" applyAlignment="1" pivotButton="0" quotePrefix="0" xfId="0">
      <alignment vertical="center"/>
    </xf>
    <xf numFmtId="0" fontId="105" fillId="0" borderId="0" applyAlignment="1" pivotButton="0" quotePrefix="0" xfId="0">
      <alignment vertical="center"/>
    </xf>
    <xf numFmtId="0" fontId="157" fillId="0" borderId="0" applyAlignment="1" pivotButton="0" quotePrefix="0" xfId="0">
      <alignment horizontal="center" vertical="center" wrapText="1"/>
    </xf>
    <xf numFmtId="164" fontId="157" fillId="0" borderId="0" applyAlignment="1" pivotButton="0" quotePrefix="0" xfId="1267">
      <alignment horizontal="center" vertical="center" wrapText="1"/>
    </xf>
    <xf numFmtId="0" fontId="157" fillId="0" borderId="0" applyAlignment="1" pivotButton="0" quotePrefix="0" xfId="0">
      <alignment horizontal="center" vertical="center"/>
    </xf>
    <xf numFmtId="0" fontId="156" fillId="0" borderId="0" applyAlignment="1" pivotButton="0" quotePrefix="0" xfId="0">
      <alignment horizontal="center" vertical="center"/>
    </xf>
    <xf numFmtId="164" fontId="157" fillId="0" borderId="0" applyAlignment="1" pivotButton="0" quotePrefix="0" xfId="1267">
      <alignment horizontal="center" vertical="center"/>
    </xf>
    <xf numFmtId="0" fontId="158" fillId="0" borderId="68" applyAlignment="1" pivotButton="0" quotePrefix="0" xfId="1442">
      <alignment horizontal="left" vertical="center" indent="1"/>
    </xf>
    <xf numFmtId="0" fontId="160" fillId="0" borderId="67" applyAlignment="1" pivotButton="0" quotePrefix="0" xfId="0">
      <alignment vertical="center"/>
    </xf>
    <xf numFmtId="0" fontId="161" fillId="0" borderId="68" applyAlignment="1" pivotButton="0" quotePrefix="0" xfId="1442">
      <alignment horizontal="left" vertical="center" indent="1"/>
    </xf>
    <xf numFmtId="0" fontId="158" fillId="0" borderId="0" applyAlignment="1" pivotButton="0" quotePrefix="0" xfId="1442">
      <alignment vertical="center"/>
    </xf>
    <xf numFmtId="0" fontId="159" fillId="0" borderId="0" applyAlignment="1" pivotButton="0" quotePrefix="0" xfId="0">
      <alignment vertical="center"/>
    </xf>
    <xf numFmtId="0" fontId="158" fillId="0" borderId="0" applyAlignment="1" pivotButton="0" quotePrefix="0" xfId="0">
      <alignment vertical="center"/>
    </xf>
    <xf numFmtId="0" fontId="162" fillId="27" borderId="146" applyAlignment="1" pivotButton="0" quotePrefix="0" xfId="1442">
      <alignment horizontal="left" vertical="center" indent="1"/>
    </xf>
    <xf numFmtId="0" fontId="163" fillId="27" borderId="147" applyAlignment="1" pivotButton="0" quotePrefix="0" xfId="1442">
      <alignment vertical="center"/>
    </xf>
    <xf numFmtId="0" fontId="164" fillId="27" borderId="147" applyAlignment="1" pivotButton="0" quotePrefix="0" xfId="0">
      <alignment vertical="center"/>
    </xf>
    <xf numFmtId="0" fontId="164" fillId="27" borderId="148" applyAlignment="1" pivotButton="0" quotePrefix="0" xfId="0">
      <alignment vertical="center"/>
    </xf>
    <xf numFmtId="0" fontId="123" fillId="28" borderId="35" applyAlignment="1" pivotButton="0" quotePrefix="0" xfId="0">
      <alignment horizontal="left" vertical="center"/>
    </xf>
    <xf numFmtId="0" fontId="123" fillId="37" borderId="32" applyAlignment="1" pivotButton="0" quotePrefix="0" xfId="0">
      <alignment horizontal="center" vertical="center"/>
    </xf>
    <xf numFmtId="171" fontId="116" fillId="29" borderId="31" applyAlignment="1" pivotButton="0" quotePrefix="0" xfId="0">
      <alignment horizontal="center" vertical="center" wrapText="1"/>
    </xf>
    <xf numFmtId="171" fontId="116" fillId="0" borderId="43" applyAlignment="1" pivotButton="0" quotePrefix="0" xfId="0">
      <alignment vertical="center" wrapText="1"/>
    </xf>
    <xf numFmtId="0" fontId="167" fillId="0" borderId="0" pivotButton="0" quotePrefix="0" xfId="0"/>
    <xf numFmtId="0" fontId="166" fillId="35" borderId="94" applyAlignment="1" pivotButton="0" quotePrefix="0" xfId="0">
      <alignment horizontal="center" vertical="center"/>
    </xf>
    <xf numFmtId="0" fontId="166" fillId="35" borderId="95" applyAlignment="1" pivotButton="0" quotePrefix="0" xfId="0">
      <alignment horizontal="center" vertical="center"/>
    </xf>
    <xf numFmtId="0" fontId="166" fillId="35" borderId="96" applyAlignment="1" pivotButton="0" quotePrefix="0" xfId="0">
      <alignment horizontal="center" vertical="center"/>
    </xf>
    <xf numFmtId="0" fontId="166" fillId="35" borderId="97" applyAlignment="1" pivotButton="0" quotePrefix="0" xfId="0">
      <alignment horizontal="center" vertical="center"/>
    </xf>
    <xf numFmtId="0" fontId="166" fillId="35" borderId="94" applyAlignment="1" pivotButton="0" quotePrefix="0" xfId="1267">
      <alignment horizontal="center" vertical="center"/>
    </xf>
    <xf numFmtId="0" fontId="166" fillId="35" borderId="98" applyAlignment="1" pivotButton="0" quotePrefix="0" xfId="1267">
      <alignment horizontal="center" vertical="center"/>
    </xf>
    <xf numFmtId="0" fontId="166" fillId="35" borderId="151" applyAlignment="1" pivotButton="0" quotePrefix="0" xfId="1267">
      <alignment horizontal="center" vertical="center"/>
    </xf>
    <xf numFmtId="164" fontId="167" fillId="0" borderId="0" pivotButton="0" quotePrefix="0" xfId="0"/>
    <xf numFmtId="0" fontId="165" fillId="0" borderId="0" applyAlignment="1" pivotButton="0" quotePrefix="0" xfId="0">
      <alignment horizontal="left" vertical="center"/>
    </xf>
    <xf numFmtId="164" fontId="165" fillId="0" borderId="0" applyAlignment="1" pivotButton="0" quotePrefix="0" xfId="1267">
      <alignment horizontal="center"/>
    </xf>
    <xf numFmtId="0" fontId="165" fillId="0" borderId="0" applyAlignment="1" pivotButton="0" quotePrefix="0" xfId="0">
      <alignment horizontal="center"/>
    </xf>
    <xf numFmtId="0" fontId="168" fillId="0" borderId="0" pivotButton="0" quotePrefix="0" xfId="0"/>
    <xf numFmtId="164" fontId="168" fillId="0" borderId="0" pivotButton="0" quotePrefix="0" xfId="0"/>
    <xf numFmtId="0" fontId="169" fillId="0" borderId="106" applyAlignment="1" pivotButton="0" quotePrefix="0" xfId="0">
      <alignment horizontal="center" vertical="center"/>
    </xf>
    <xf numFmtId="164" fontId="169" fillId="0" borderId="70" applyAlignment="1" pivotButton="0" quotePrefix="0" xfId="1267">
      <alignment horizontal="center" vertical="center"/>
    </xf>
    <xf numFmtId="2" fontId="169" fillId="0" borderId="107" applyAlignment="1" pivotButton="0" quotePrefix="0" xfId="0">
      <alignment horizontal="center" vertical="center"/>
    </xf>
    <xf numFmtId="164" fontId="169" fillId="0" borderId="106" applyAlignment="1" pivotButton="0" quotePrefix="0" xfId="1267">
      <alignment horizontal="center" vertical="center"/>
    </xf>
    <xf numFmtId="164" fontId="169" fillId="30" borderId="108" applyAlignment="1" pivotButton="0" quotePrefix="0" xfId="1267">
      <alignment horizontal="center" vertical="center"/>
    </xf>
    <xf numFmtId="164" fontId="169" fillId="0" borderId="109" applyAlignment="1" pivotButton="0" quotePrefix="0" xfId="1267">
      <alignment horizontal="center" vertical="center"/>
    </xf>
    <xf numFmtId="164" fontId="169" fillId="29" borderId="107" applyAlignment="1" pivotButton="0" quotePrefix="0" xfId="1267">
      <alignment horizontal="center" vertical="center"/>
    </xf>
    <xf numFmtId="164" fontId="169" fillId="0" borderId="110" applyAlignment="1" pivotButton="0" quotePrefix="0" xfId="1267">
      <alignment horizontal="center" vertical="center"/>
    </xf>
    <xf numFmtId="164" fontId="169" fillId="0" borderId="107" applyAlignment="1" pivotButton="0" quotePrefix="0" xfId="1267">
      <alignment horizontal="center" vertical="center"/>
    </xf>
    <xf numFmtId="164" fontId="169" fillId="0" borderId="111" applyAlignment="1" pivotButton="0" quotePrefix="0" xfId="1267">
      <alignment horizontal="center" vertical="center"/>
    </xf>
    <xf numFmtId="0" fontId="169" fillId="0" borderId="74" applyAlignment="1" pivotButton="0" quotePrefix="0" xfId="0">
      <alignment horizontal="center" vertical="center"/>
    </xf>
    <xf numFmtId="164" fontId="169" fillId="0" borderId="82" applyAlignment="1" pivotButton="0" quotePrefix="0" xfId="1267">
      <alignment horizontal="center" vertical="center"/>
    </xf>
    <xf numFmtId="2" fontId="169" fillId="0" borderId="79" applyAlignment="1" pivotButton="0" quotePrefix="0" xfId="0">
      <alignment horizontal="center" vertical="center"/>
    </xf>
    <xf numFmtId="164" fontId="169" fillId="0" borderId="74" applyAlignment="1" pivotButton="0" quotePrefix="0" xfId="1267">
      <alignment horizontal="center" vertical="center"/>
    </xf>
    <xf numFmtId="164" fontId="169" fillId="30" borderId="75" applyAlignment="1" pivotButton="0" quotePrefix="0" xfId="1267">
      <alignment horizontal="center" vertical="center"/>
    </xf>
    <xf numFmtId="164" fontId="169" fillId="0" borderId="80" applyAlignment="1" pivotButton="0" quotePrefix="0" xfId="1267">
      <alignment horizontal="center" vertical="center"/>
    </xf>
    <xf numFmtId="164" fontId="169" fillId="29" borderId="79" applyAlignment="1" pivotButton="0" quotePrefix="0" xfId="1267">
      <alignment horizontal="center" vertical="center"/>
    </xf>
    <xf numFmtId="164" fontId="169" fillId="0" borderId="81" applyAlignment="1" pivotButton="0" quotePrefix="0" xfId="1267">
      <alignment horizontal="center" vertical="center"/>
    </xf>
    <xf numFmtId="164" fontId="169" fillId="0" borderId="79" applyAlignment="1" pivotButton="0" quotePrefix="0" xfId="1267">
      <alignment horizontal="center" vertical="center"/>
    </xf>
    <xf numFmtId="164" fontId="169" fillId="0" borderId="86" applyAlignment="1" pivotButton="0" quotePrefix="0" xfId="1267">
      <alignment horizontal="center" vertical="center"/>
    </xf>
    <xf numFmtId="0" fontId="169" fillId="0" borderId="139" applyAlignment="1" pivotButton="0" quotePrefix="0" xfId="0">
      <alignment horizontal="center" vertical="center"/>
    </xf>
    <xf numFmtId="164" fontId="169" fillId="0" borderId="5" applyAlignment="1" pivotButton="0" quotePrefix="0" xfId="1267">
      <alignment horizontal="center" vertical="center"/>
    </xf>
    <xf numFmtId="2" fontId="169" fillId="0" borderId="149" applyAlignment="1" pivotButton="0" quotePrefix="0" xfId="0">
      <alignment horizontal="center" vertical="center"/>
    </xf>
    <xf numFmtId="164" fontId="169" fillId="0" borderId="139" applyAlignment="1" pivotButton="0" quotePrefix="0" xfId="1267">
      <alignment horizontal="center" vertical="center"/>
    </xf>
    <xf numFmtId="164" fontId="169" fillId="30" borderId="141" applyAlignment="1" pivotButton="0" quotePrefix="0" xfId="1267">
      <alignment horizontal="center" vertical="center"/>
    </xf>
    <xf numFmtId="164" fontId="169" fillId="0" borderId="150" applyAlignment="1" pivotButton="0" quotePrefix="0" xfId="1267">
      <alignment horizontal="center" vertical="center"/>
    </xf>
    <xf numFmtId="164" fontId="169" fillId="29" borderId="149" applyAlignment="1" pivotButton="0" quotePrefix="0" xfId="1267">
      <alignment horizontal="center" vertical="center"/>
    </xf>
    <xf numFmtId="164" fontId="169" fillId="0" borderId="140" applyAlignment="1" pivotButton="0" quotePrefix="0" xfId="1267">
      <alignment horizontal="center" vertical="center"/>
    </xf>
    <xf numFmtId="164" fontId="169" fillId="0" borderId="149" applyAlignment="1" pivotButton="0" quotePrefix="0" xfId="1267">
      <alignment horizontal="center" vertical="center"/>
    </xf>
    <xf numFmtId="164" fontId="169" fillId="0" borderId="142" applyAlignment="1" pivotButton="0" quotePrefix="0" xfId="1267">
      <alignment horizontal="center" vertical="center"/>
    </xf>
    <xf numFmtId="0" fontId="169" fillId="0" borderId="100" applyAlignment="1" pivotButton="0" quotePrefix="0" xfId="0">
      <alignment horizontal="center" vertical="center"/>
    </xf>
    <xf numFmtId="164" fontId="169" fillId="0" borderId="20" applyAlignment="1" pivotButton="0" quotePrefix="0" xfId="1267">
      <alignment horizontal="center" vertical="center"/>
    </xf>
    <xf numFmtId="2" fontId="169" fillId="0" borderId="101" applyAlignment="1" pivotButton="0" quotePrefix="0" xfId="0">
      <alignment horizontal="center" vertical="center"/>
    </xf>
    <xf numFmtId="164" fontId="169" fillId="0" borderId="100" applyAlignment="1" pivotButton="0" quotePrefix="0" xfId="1267">
      <alignment horizontal="center" vertical="center"/>
    </xf>
    <xf numFmtId="164" fontId="169" fillId="30" borderId="102" applyAlignment="1" pivotButton="0" quotePrefix="0" xfId="1267">
      <alignment horizontal="center" vertical="center"/>
    </xf>
    <xf numFmtId="164" fontId="169" fillId="0" borderId="103" applyAlignment="1" pivotButton="0" quotePrefix="0" xfId="1267">
      <alignment horizontal="center" vertical="center"/>
    </xf>
    <xf numFmtId="164" fontId="169" fillId="29" borderId="101" applyAlignment="1" pivotButton="0" quotePrefix="0" xfId="1267">
      <alignment horizontal="center" vertical="center"/>
    </xf>
    <xf numFmtId="164" fontId="169" fillId="0" borderId="104" applyAlignment="1" pivotButton="0" quotePrefix="0" xfId="1267">
      <alignment horizontal="center" vertical="center"/>
    </xf>
    <xf numFmtId="164" fontId="169" fillId="0" borderId="101" applyAlignment="1" pivotButton="0" quotePrefix="0" xfId="1267">
      <alignment horizontal="center" vertical="center"/>
    </xf>
    <xf numFmtId="164" fontId="169" fillId="0" borderId="105" applyAlignment="1" pivotButton="0" quotePrefix="0" xfId="1267">
      <alignment horizontal="center" vertical="center"/>
    </xf>
    <xf numFmtId="0" fontId="169" fillId="0" borderId="0" pivotButton="0" quotePrefix="0" xfId="0"/>
    <xf numFmtId="0" fontId="51" fillId="0" borderId="0" pivotButton="0" quotePrefix="0" xfId="0"/>
    <xf numFmtId="0" fontId="169" fillId="0" borderId="0" applyAlignment="1" pivotButton="0" quotePrefix="0" xfId="0">
      <alignment horizontal="left" vertical="center"/>
    </xf>
    <xf numFmtId="0" fontId="167" fillId="0" borderId="0" applyAlignment="1" pivotButton="0" quotePrefix="0" xfId="0">
      <alignment horizontal="left"/>
    </xf>
    <xf numFmtId="0" fontId="171" fillId="0" borderId="90" pivotButton="0" quotePrefix="0" xfId="0"/>
    <xf numFmtId="0" fontId="168" fillId="0" borderId="29" pivotButton="0" quotePrefix="0" xfId="0"/>
    <xf numFmtId="0" fontId="168" fillId="0" borderId="91" pivotButton="0" quotePrefix="0" xfId="0"/>
    <xf numFmtId="0" fontId="167" fillId="0" borderId="93" applyAlignment="1" pivotButton="0" quotePrefix="0" xfId="0">
      <alignment horizontal="left"/>
    </xf>
    <xf numFmtId="0" fontId="167" fillId="0" borderId="30" pivotButton="0" quotePrefix="0" xfId="0"/>
    <xf numFmtId="0" fontId="170" fillId="0" borderId="93" pivotButton="0" quotePrefix="0" xfId="0"/>
    <xf numFmtId="0" fontId="167" fillId="0" borderId="92" applyAlignment="1" pivotButton="0" quotePrefix="0" xfId="0">
      <alignment horizontal="left"/>
    </xf>
    <xf numFmtId="0" fontId="167" fillId="0" borderId="7" pivotButton="0" quotePrefix="0" xfId="0"/>
    <xf numFmtId="0" fontId="167" fillId="0" borderId="84" pivotButton="0" quotePrefix="0" xfId="0"/>
    <xf numFmtId="0" fontId="125" fillId="28" borderId="167" applyAlignment="1" pivotButton="0" quotePrefix="0" xfId="0">
      <alignment horizontal="center" vertical="center"/>
    </xf>
    <xf numFmtId="0" fontId="125" fillId="28" borderId="167" applyAlignment="1" pivotButton="0" quotePrefix="0" xfId="0">
      <alignment horizontal="right" vertical="center"/>
    </xf>
    <xf numFmtId="0" fontId="123" fillId="28" borderId="167" applyAlignment="1" pivotButton="0" quotePrefix="0" xfId="0">
      <alignment vertical="center"/>
    </xf>
    <xf numFmtId="0" fontId="125" fillId="0" borderId="169" applyAlignment="1" pivotButton="0" quotePrefix="0" xfId="0">
      <alignment vertical="center"/>
    </xf>
    <xf numFmtId="0" fontId="125" fillId="0" borderId="167" applyAlignment="1" pivotButton="0" quotePrefix="0" xfId="0">
      <alignment vertical="center"/>
    </xf>
    <xf numFmtId="0" fontId="125" fillId="28" borderId="171" applyAlignment="1" pivotButton="0" quotePrefix="0" xfId="0">
      <alignment horizontal="right" vertical="center"/>
    </xf>
    <xf numFmtId="0" fontId="125" fillId="37" borderId="167" applyAlignment="1" pivotButton="0" quotePrefix="0" xfId="0">
      <alignment horizontal="center" vertical="center"/>
    </xf>
    <xf numFmtId="0" fontId="125" fillId="37" borderId="167" applyAlignment="1" pivotButton="0" quotePrefix="0" xfId="0">
      <alignment horizontal="right" vertical="center"/>
    </xf>
    <xf numFmtId="0" fontId="126" fillId="37" borderId="167" applyAlignment="1" pivotButton="0" quotePrefix="0" xfId="0">
      <alignment vertical="center"/>
    </xf>
    <xf numFmtId="0" fontId="123" fillId="37" borderId="167" applyAlignment="1" pivotButton="0" quotePrefix="0" xfId="0">
      <alignment vertical="center"/>
    </xf>
    <xf numFmtId="0" fontId="122" fillId="37" borderId="167" applyAlignment="1" pivotButton="0" quotePrefix="0" xfId="0">
      <alignment horizontal="right" vertical="center"/>
    </xf>
    <xf numFmtId="0" fontId="122" fillId="0" borderId="167" applyAlignment="1" pivotButton="0" quotePrefix="0" xfId="0">
      <alignment horizontal="right" vertical="center"/>
    </xf>
    <xf numFmtId="0" fontId="125" fillId="37" borderId="171" applyAlignment="1" pivotButton="0" quotePrefix="0" xfId="0">
      <alignment horizontal="right" vertical="center"/>
    </xf>
    <xf numFmtId="0" fontId="125" fillId="34" borderId="167" applyAlignment="1" pivotButton="0" quotePrefix="0" xfId="0">
      <alignment horizontal="center" vertical="center"/>
    </xf>
    <xf numFmtId="0" fontId="125" fillId="34" borderId="167" applyAlignment="1" pivotButton="0" quotePrefix="0" xfId="0">
      <alignment horizontal="right" vertical="center"/>
    </xf>
    <xf numFmtId="0" fontId="126" fillId="34" borderId="167" applyAlignment="1" pivotButton="0" quotePrefix="0" xfId="0">
      <alignment vertical="center"/>
    </xf>
    <xf numFmtId="0" fontId="123" fillId="34" borderId="167" applyAlignment="1" pivotButton="0" quotePrefix="0" xfId="0">
      <alignment vertical="center"/>
    </xf>
    <xf numFmtId="0" fontId="122" fillId="34" borderId="167" applyAlignment="1" pivotButton="0" quotePrefix="0" xfId="0">
      <alignment horizontal="right" vertical="center"/>
    </xf>
    <xf numFmtId="0" fontId="125" fillId="34" borderId="171" applyAlignment="1" pivotButton="0" quotePrefix="0" xfId="0">
      <alignment horizontal="right" vertical="center"/>
    </xf>
    <xf numFmtId="0" fontId="144" fillId="36" borderId="0" applyAlignment="1" pivotButton="0" quotePrefix="0" xfId="0">
      <alignment horizontal="left" vertical="center" indent="1"/>
    </xf>
    <xf numFmtId="0" fontId="131" fillId="0" borderId="0" applyAlignment="1" pivotButton="0" quotePrefix="0" xfId="0">
      <alignment horizontal="center" vertical="center"/>
    </xf>
    <xf numFmtId="0" fontId="134" fillId="0" borderId="0" applyAlignment="1" pivotButton="0" quotePrefix="0" xfId="0">
      <alignment horizontal="center" vertical="center"/>
    </xf>
    <xf numFmtId="0" fontId="132" fillId="0" borderId="0" applyAlignment="1" pivotButton="0" quotePrefix="0" xfId="0">
      <alignment horizontal="center" vertical="center"/>
    </xf>
    <xf numFmtId="168" fontId="133" fillId="0" borderId="0" applyAlignment="1" pivotButton="0" quotePrefix="0" xfId="0">
      <alignment horizontal="center" vertical="center"/>
    </xf>
    <xf numFmtId="0" fontId="150" fillId="0" borderId="0" applyAlignment="1" pivotButton="0" quotePrefix="0" xfId="0">
      <alignment horizontal="center" vertical="center"/>
    </xf>
    <xf numFmtId="0" fontId="108" fillId="32" borderId="52" applyAlignment="1" pivotButton="0" quotePrefix="0" xfId="0">
      <alignment horizontal="left" vertical="center" wrapText="1"/>
    </xf>
    <xf numFmtId="0" fontId="108" fillId="32" borderId="53" applyAlignment="1" pivotButton="0" quotePrefix="0" xfId="0">
      <alignment horizontal="left" vertical="center" wrapText="1"/>
    </xf>
    <xf numFmtId="0" fontId="129" fillId="31" borderId="33" applyAlignment="1" pivotButton="0" quotePrefix="0" xfId="0">
      <alignment horizontal="center" vertical="center" wrapText="1"/>
    </xf>
    <xf numFmtId="0" fontId="129" fillId="31" borderId="35" applyAlignment="1" pivotButton="0" quotePrefix="0" xfId="0">
      <alignment horizontal="center" vertical="center" wrapText="1"/>
    </xf>
    <xf numFmtId="0" fontId="129" fillId="31" borderId="34" applyAlignment="1" pivotButton="0" quotePrefix="0" xfId="0">
      <alignment horizontal="center" vertical="center" wrapText="1"/>
    </xf>
    <xf numFmtId="0" fontId="130" fillId="31" borderId="33" applyAlignment="1" pivotButton="0" quotePrefix="0" xfId="0">
      <alignment horizontal="center" vertical="center"/>
    </xf>
    <xf numFmtId="0" fontId="130" fillId="31" borderId="35" applyAlignment="1" pivotButton="0" quotePrefix="0" xfId="0">
      <alignment horizontal="center" vertical="center"/>
    </xf>
    <xf numFmtId="167" fontId="130" fillId="31" borderId="35" applyAlignment="1" pivotButton="0" quotePrefix="0" xfId="0">
      <alignment horizontal="center" vertical="center" shrinkToFit="1"/>
    </xf>
    <xf numFmtId="0" fontId="108" fillId="32" borderId="43" applyAlignment="1" pivotButton="0" quotePrefix="0" xfId="0">
      <alignment horizontal="left" vertical="center" wrapText="1"/>
    </xf>
    <xf numFmtId="0" fontId="108" fillId="32" borderId="44" applyAlignment="1" pivotButton="0" quotePrefix="0" xfId="0">
      <alignment horizontal="left" vertical="center" wrapText="1"/>
    </xf>
    <xf numFmtId="0" fontId="121" fillId="0" borderId="31" applyAlignment="1" pivotButton="0" quotePrefix="0" xfId="0">
      <alignment horizontal="left" vertical="center" shrinkToFit="1"/>
    </xf>
    <xf numFmtId="0" fontId="121" fillId="0" borderId="43" applyAlignment="1" pivotButton="0" quotePrefix="0" xfId="0">
      <alignment horizontal="left" vertical="center" shrinkToFit="1"/>
    </xf>
    <xf numFmtId="0" fontId="108" fillId="0" borderId="31" applyAlignment="1" pivotButton="0" quotePrefix="0" xfId="0">
      <alignment vertical="center" shrinkToFit="1"/>
    </xf>
    <xf numFmtId="0" fontId="108" fillId="0" borderId="43" applyAlignment="1" pivotButton="0" quotePrefix="0" xfId="0">
      <alignment vertical="center" shrinkToFit="1"/>
    </xf>
    <xf numFmtId="0" fontId="108" fillId="0" borderId="45" applyAlignment="1" pivotButton="0" quotePrefix="0" xfId="0">
      <alignment horizontal="center" vertical="center"/>
    </xf>
    <xf numFmtId="0" fontId="108" fillId="0" borderId="31" applyAlignment="1" pivotButton="0" quotePrefix="0" xfId="0">
      <alignment horizontal="center" vertical="center"/>
    </xf>
    <xf numFmtId="0" fontId="108" fillId="0" borderId="43" applyAlignment="1" pivotButton="0" quotePrefix="0" xfId="0">
      <alignment horizontal="center" vertical="center"/>
    </xf>
    <xf numFmtId="0" fontId="117" fillId="31" borderId="33" applyAlignment="1" pivotButton="0" quotePrefix="0" xfId="0">
      <alignment horizontal="center" vertical="center"/>
    </xf>
    <xf numFmtId="0" fontId="117" fillId="31" borderId="35" applyAlignment="1" pivotButton="0" quotePrefix="0" xfId="0">
      <alignment horizontal="center" vertical="center"/>
    </xf>
    <xf numFmtId="0" fontId="117" fillId="31" borderId="34" applyAlignment="1" pivotButton="0" quotePrefix="0" xfId="0">
      <alignment horizontal="center" vertical="center"/>
    </xf>
    <xf numFmtId="166" fontId="128" fillId="0" borderId="48" applyAlignment="1" pivotButton="0" quotePrefix="0" xfId="0">
      <alignment horizontal="center" vertical="center" wrapText="1" shrinkToFit="1"/>
    </xf>
    <xf numFmtId="166" fontId="128" fillId="0" borderId="49" applyAlignment="1" pivotButton="0" quotePrefix="0" xfId="0">
      <alignment horizontal="center" vertical="center" wrapText="1" shrinkToFit="1"/>
    </xf>
    <xf numFmtId="166" fontId="128" fillId="0" borderId="50" applyAlignment="1" pivotButton="0" quotePrefix="0" xfId="0">
      <alignment horizontal="center" vertical="center" wrapText="1" shrinkToFit="1"/>
    </xf>
    <xf numFmtId="166" fontId="128" fillId="0" borderId="56" applyAlignment="1" pivotButton="0" quotePrefix="0" xfId="0">
      <alignment horizontal="center" vertical="center" wrapText="1" shrinkToFit="1"/>
    </xf>
    <xf numFmtId="166" fontId="128" fillId="0" borderId="66" applyAlignment="1" pivotButton="0" quotePrefix="0" xfId="0">
      <alignment horizontal="center" vertical="center" wrapText="1" shrinkToFit="1"/>
    </xf>
    <xf numFmtId="166" fontId="128" fillId="0" borderId="57" applyAlignment="1" pivotButton="0" quotePrefix="0" xfId="0">
      <alignment horizontal="center" vertical="center" wrapText="1" shrinkToFit="1"/>
    </xf>
    <xf numFmtId="166" fontId="128" fillId="0" borderId="33" applyAlignment="1" pivotButton="0" quotePrefix="0" xfId="1267">
      <alignment horizontal="center" vertical="center" shrinkToFit="1"/>
    </xf>
    <xf numFmtId="166" fontId="128" fillId="0" borderId="35" applyAlignment="1" pivotButton="0" quotePrefix="0" xfId="1267">
      <alignment horizontal="center" vertical="center" shrinkToFit="1"/>
    </xf>
    <xf numFmtId="166" fontId="128" fillId="0" borderId="34" applyAlignment="1" pivotButton="0" quotePrefix="0" xfId="1267">
      <alignment horizontal="center" vertical="center" shrinkToFit="1"/>
    </xf>
    <xf numFmtId="0" fontId="108" fillId="0" borderId="33" applyAlignment="1" pivotButton="0" quotePrefix="0" xfId="0">
      <alignment horizontal="center" vertical="center"/>
    </xf>
    <xf numFmtId="0" fontId="108" fillId="0" borderId="35" applyAlignment="1" pivotButton="0" quotePrefix="0" xfId="0">
      <alignment horizontal="center" vertical="center"/>
    </xf>
    <xf numFmtId="0" fontId="108" fillId="0" borderId="34" applyAlignment="1" pivotButton="0" quotePrefix="0" xfId="0">
      <alignment horizontal="center" vertical="center"/>
    </xf>
    <xf numFmtId="166" fontId="108" fillId="0" borderId="33" applyAlignment="1" pivotButton="0" quotePrefix="0" xfId="0">
      <alignment horizontal="center" vertical="center"/>
    </xf>
    <xf numFmtId="166" fontId="108" fillId="0" borderId="35" applyAlignment="1" pivotButton="0" quotePrefix="0" xfId="0">
      <alignment horizontal="center" vertical="center"/>
    </xf>
    <xf numFmtId="166" fontId="108" fillId="0" borderId="34" applyAlignment="1" pivotButton="0" quotePrefix="0" xfId="0">
      <alignment horizontal="center" vertical="center"/>
    </xf>
    <xf numFmtId="166" fontId="117" fillId="31" borderId="33" applyAlignment="1" pivotButton="0" quotePrefix="0" xfId="0">
      <alignment horizontal="right" vertical="center" shrinkToFit="1"/>
    </xf>
    <xf numFmtId="166" fontId="117" fillId="31" borderId="35" applyAlignment="1" pivotButton="0" quotePrefix="0" xfId="0">
      <alignment horizontal="right" vertical="center" shrinkToFit="1"/>
    </xf>
    <xf numFmtId="166" fontId="117" fillId="31" borderId="34" applyAlignment="1" pivotButton="0" quotePrefix="0" xfId="0">
      <alignment horizontal="right" vertical="center" shrinkToFit="1"/>
    </xf>
    <xf numFmtId="166" fontId="116" fillId="32" borderId="33" applyAlignment="1" pivotButton="0" quotePrefix="0" xfId="0">
      <alignment horizontal="right" vertical="center" shrinkToFit="1"/>
    </xf>
    <xf numFmtId="166" fontId="116" fillId="32" borderId="35" applyAlignment="1" pivotButton="0" quotePrefix="0" xfId="0">
      <alignment horizontal="right" vertical="center" shrinkToFit="1"/>
    </xf>
    <xf numFmtId="166" fontId="116" fillId="32" borderId="34" applyAlignment="1" pivotButton="0" quotePrefix="0" xfId="0">
      <alignment horizontal="right" vertical="center" shrinkToFit="1"/>
    </xf>
    <xf numFmtId="0" fontId="110" fillId="0" borderId="154" applyAlignment="1" pivotButton="0" quotePrefix="0" xfId="0">
      <alignment horizontal="center" vertical="center"/>
    </xf>
    <xf numFmtId="0" fontId="110" fillId="0" borderId="82" applyAlignment="1" pivotButton="0" quotePrefix="0" xfId="0">
      <alignment horizontal="center" vertical="center"/>
    </xf>
    <xf numFmtId="0" fontId="110" fillId="0" borderId="159" applyAlignment="1" pivotButton="0" quotePrefix="0" xfId="0">
      <alignment horizontal="center" vertical="center"/>
    </xf>
    <xf numFmtId="0" fontId="109" fillId="0" borderId="33" applyAlignment="1" pivotButton="0" quotePrefix="0" xfId="0">
      <alignment horizontal="center" vertical="center"/>
    </xf>
    <xf numFmtId="0" fontId="109" fillId="0" borderId="35" applyAlignment="1" pivotButton="0" quotePrefix="0" xfId="0">
      <alignment horizontal="center" vertical="center"/>
    </xf>
    <xf numFmtId="0" fontId="109" fillId="0" borderId="34" applyAlignment="1" pivotButton="0" quotePrefix="0" xfId="0">
      <alignment horizontal="center" vertical="center"/>
    </xf>
    <xf numFmtId="166" fontId="108" fillId="0" borderId="33" applyAlignment="1" pivotButton="0" quotePrefix="0" xfId="0">
      <alignment horizontal="right" vertical="center" shrinkToFit="1"/>
    </xf>
    <xf numFmtId="166" fontId="108" fillId="0" borderId="35" applyAlignment="1" pivotButton="0" quotePrefix="0" xfId="0">
      <alignment horizontal="right" vertical="center" shrinkToFit="1"/>
    </xf>
    <xf numFmtId="166" fontId="108" fillId="0" borderId="34" applyAlignment="1" pivotButton="0" quotePrefix="0" xfId="0">
      <alignment horizontal="right" vertical="center" shrinkToFit="1"/>
    </xf>
    <xf numFmtId="170" fontId="116" fillId="29" borderId="45" applyAlignment="1" pivotButton="0" quotePrefix="0" xfId="1267">
      <alignment horizontal="center" vertical="center" shrinkToFit="1"/>
    </xf>
    <xf numFmtId="170" fontId="116" fillId="29" borderId="31" applyAlignment="1" pivotButton="0" quotePrefix="0" xfId="1267">
      <alignment horizontal="center" vertical="center" shrinkToFit="1"/>
    </xf>
    <xf numFmtId="0" fontId="108" fillId="0" borderId="45" applyAlignment="1" pivotButton="0" quotePrefix="0" xfId="0">
      <alignment horizontal="center" vertical="center" wrapText="1"/>
    </xf>
    <xf numFmtId="0" fontId="108" fillId="0" borderId="31" applyAlignment="1" pivotButton="0" quotePrefix="0" xfId="0">
      <alignment horizontal="center" vertical="center" wrapText="1"/>
    </xf>
    <xf numFmtId="0" fontId="108" fillId="0" borderId="43" applyAlignment="1" pivotButton="0" quotePrefix="0" xfId="0">
      <alignment horizontal="center" vertical="center" wrapText="1"/>
    </xf>
    <xf numFmtId="166" fontId="130" fillId="31" borderId="35" applyAlignment="1" pivotButton="0" quotePrefix="0" xfId="0">
      <alignment horizontal="center" vertical="center" shrinkToFit="1"/>
    </xf>
    <xf numFmtId="0" fontId="109" fillId="32" borderId="156" applyAlignment="1" pivotButton="0" quotePrefix="0" xfId="0">
      <alignment horizontal="center" vertical="center"/>
    </xf>
    <xf numFmtId="0" fontId="109" fillId="32" borderId="157" applyAlignment="1" pivotButton="0" quotePrefix="0" xfId="0">
      <alignment horizontal="center" vertical="center"/>
    </xf>
    <xf numFmtId="0" fontId="109" fillId="32" borderId="160" applyAlignment="1" pivotButton="0" quotePrefix="0" xfId="0">
      <alignment horizontal="center" vertical="center"/>
    </xf>
    <xf numFmtId="31" fontId="116" fillId="0" borderId="0" applyAlignment="1" pivotButton="0" quotePrefix="0" xfId="0">
      <alignment horizontal="left" vertical="center"/>
    </xf>
    <xf numFmtId="31" fontId="116" fillId="0" borderId="30" applyAlignment="1" pivotButton="0" quotePrefix="0" xfId="0">
      <alignment horizontal="left" vertical="center"/>
    </xf>
    <xf numFmtId="31" fontId="108" fillId="0" borderId="31" applyAlignment="1" pivotButton="0" quotePrefix="0" xfId="0">
      <alignment horizontal="left" vertical="center" wrapText="1"/>
    </xf>
    <xf numFmtId="31" fontId="108" fillId="0" borderId="43" applyAlignment="1" pivotButton="0" quotePrefix="0" xfId="0">
      <alignment horizontal="left" vertical="center" wrapText="1"/>
    </xf>
    <xf numFmtId="0" fontId="109" fillId="0" borderId="153" applyAlignment="1" pivotButton="0" quotePrefix="0" xfId="0">
      <alignment horizontal="center" vertical="center"/>
    </xf>
    <xf numFmtId="0" fontId="110" fillId="0" borderId="156" applyAlignment="1" pivotButton="0" quotePrefix="0" xfId="0">
      <alignment horizontal="center" vertical="center" shrinkToFit="1"/>
    </xf>
    <xf numFmtId="0" fontId="110" fillId="0" borderId="157" applyAlignment="1" pivotButton="0" quotePrefix="0" xfId="0">
      <alignment horizontal="center" vertical="center" shrinkToFit="1"/>
    </xf>
    <xf numFmtId="0" fontId="110" fillId="0" borderId="158" applyAlignment="1" pivotButton="0" quotePrefix="0" xfId="0">
      <alignment horizontal="center" vertical="center" shrinkToFit="1"/>
    </xf>
    <xf numFmtId="0" fontId="110" fillId="0" borderId="155" applyAlignment="1" pivotButton="0" quotePrefix="0" xfId="0">
      <alignment horizontal="center" vertical="center"/>
    </xf>
    <xf numFmtId="0" fontId="110" fillId="0" borderId="153" applyAlignment="1" pivotButton="0" quotePrefix="0" xfId="0">
      <alignment horizontal="center" vertical="center"/>
    </xf>
    <xf numFmtId="0" fontId="109" fillId="32" borderId="154" applyAlignment="1" pivotButton="0" quotePrefix="0" xfId="0">
      <alignment horizontal="center" vertical="center"/>
    </xf>
    <xf numFmtId="0" fontId="109" fillId="32" borderId="82" applyAlignment="1" pivotButton="0" quotePrefix="0" xfId="0">
      <alignment horizontal="center" vertical="center"/>
    </xf>
    <xf numFmtId="0" fontId="109" fillId="32" borderId="159" applyAlignment="1" pivotButton="0" quotePrefix="0" xfId="0">
      <alignment horizontal="center" vertical="center"/>
    </xf>
    <xf numFmtId="0" fontId="110" fillId="0" borderId="156" applyAlignment="1" pivotButton="0" quotePrefix="0" xfId="0">
      <alignment horizontal="center" vertical="center"/>
    </xf>
    <xf numFmtId="0" fontId="110" fillId="0" borderId="157" applyAlignment="1" pivotButton="0" quotePrefix="0" xfId="0">
      <alignment horizontal="center" vertical="center"/>
    </xf>
    <xf numFmtId="0" fontId="110" fillId="0" borderId="160" applyAlignment="1" pivotButton="0" quotePrefix="0" xfId="0">
      <alignment horizontal="center" vertical="center"/>
    </xf>
    <xf numFmtId="31" fontId="112" fillId="0" borderId="0" applyAlignment="1" pivotButton="0" quotePrefix="0" xfId="0">
      <alignment horizontal="center" vertical="center"/>
    </xf>
    <xf numFmtId="0" fontId="98" fillId="0" borderId="61" applyAlignment="1" pivotButton="0" quotePrefix="0" xfId="0">
      <alignment horizontal="center" vertical="center"/>
    </xf>
    <xf numFmtId="0" fontId="98" fillId="0" borderId="0" applyAlignment="1" pivotButton="0" quotePrefix="0" xfId="0">
      <alignment horizontal="center" vertical="center"/>
    </xf>
    <xf numFmtId="0" fontId="102" fillId="0" borderId="0" applyAlignment="1" pivotButton="0" quotePrefix="0" xfId="0">
      <alignment horizontal="right"/>
    </xf>
    <xf numFmtId="0" fontId="100" fillId="0" borderId="61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0" fillId="0" borderId="62" applyAlignment="1" pivotButton="0" quotePrefix="0" xfId="0">
      <alignment horizontal="center" vertical="center" wrapText="1"/>
    </xf>
    <xf numFmtId="0" fontId="109" fillId="32" borderId="162" applyAlignment="1" pivotButton="0" quotePrefix="0" xfId="0">
      <alignment horizontal="center" vertical="center" wrapText="1"/>
    </xf>
    <xf numFmtId="0" fontId="109" fillId="32" borderId="163" applyAlignment="1" pivotButton="0" quotePrefix="0" xfId="0">
      <alignment horizontal="center" vertical="center" wrapText="1"/>
    </xf>
    <xf numFmtId="0" fontId="109" fillId="32" borderId="164" applyAlignment="1" pivotButton="0" quotePrefix="0" xfId="0">
      <alignment horizontal="center" vertical="center" wrapText="1"/>
    </xf>
    <xf numFmtId="0" fontId="109" fillId="32" borderId="69" applyAlignment="1" pivotButton="0" quotePrefix="0" xfId="0">
      <alignment horizontal="center" vertical="center"/>
    </xf>
    <xf numFmtId="0" fontId="109" fillId="32" borderId="70" applyAlignment="1" pivotButton="0" quotePrefix="0" xfId="0">
      <alignment horizontal="center" vertical="center"/>
    </xf>
    <xf numFmtId="0" fontId="109" fillId="32" borderId="161" applyAlignment="1" pivotButton="0" quotePrefix="0" xfId="0">
      <alignment horizontal="center" vertical="center"/>
    </xf>
    <xf numFmtId="0" fontId="115" fillId="0" borderId="69" applyAlignment="1" pivotButton="0" quotePrefix="0" xfId="0">
      <alignment horizontal="center" vertical="center"/>
    </xf>
    <xf numFmtId="0" fontId="115" fillId="0" borderId="70" applyAlignment="1" pivotButton="0" quotePrefix="0" xfId="0">
      <alignment horizontal="center" vertical="center"/>
    </xf>
    <xf numFmtId="0" fontId="115" fillId="0" borderId="71" applyAlignment="1" pivotButton="0" quotePrefix="0" xfId="0">
      <alignment horizontal="center" vertical="center"/>
    </xf>
    <xf numFmtId="0" fontId="121" fillId="0" borderId="0" applyAlignment="1" pivotButton="0" quotePrefix="0" xfId="0">
      <alignment vertical="center"/>
    </xf>
    <xf numFmtId="0" fontId="121" fillId="0" borderId="30" applyAlignment="1" pivotButton="0" quotePrefix="0" xfId="0">
      <alignment vertical="center"/>
    </xf>
    <xf numFmtId="168" fontId="108" fillId="0" borderId="0" applyAlignment="1" pivotButton="0" quotePrefix="0" xfId="0">
      <alignment horizontal="left" vertical="center"/>
    </xf>
    <xf numFmtId="168" fontId="108" fillId="0" borderId="30" applyAlignment="1" pivotButton="0" quotePrefix="0" xfId="0">
      <alignment horizontal="left" vertical="center"/>
    </xf>
    <xf numFmtId="0" fontId="110" fillId="0" borderId="158" applyAlignment="1" pivotButton="0" quotePrefix="0" xfId="0">
      <alignment horizontal="center" vertical="center"/>
    </xf>
    <xf numFmtId="0" fontId="108" fillId="0" borderId="0" applyAlignment="1" pivotButton="0" quotePrefix="0" xfId="0">
      <alignment horizontal="center" vertical="center"/>
    </xf>
    <xf numFmtId="0" fontId="108" fillId="0" borderId="30" applyAlignment="1" pivotButton="0" quotePrefix="0" xfId="0">
      <alignment horizontal="center" vertical="center"/>
    </xf>
    <xf numFmtId="0" fontId="110" fillId="0" borderId="156" applyAlignment="1" pivotButton="0" quotePrefix="0" xfId="0">
      <alignment horizontal="left" vertical="center" indent="2"/>
    </xf>
    <xf numFmtId="0" fontId="110" fillId="0" borderId="157" applyAlignment="1" pivotButton="0" quotePrefix="0" xfId="0">
      <alignment horizontal="left" vertical="center" indent="2"/>
    </xf>
    <xf numFmtId="0" fontId="110" fillId="0" borderId="158" applyAlignment="1" pivotButton="0" quotePrefix="0" xfId="0">
      <alignment horizontal="left" vertical="center" indent="2"/>
    </xf>
    <xf numFmtId="0" fontId="116" fillId="30" borderId="54" applyAlignment="1" pivotButton="0" quotePrefix="0" xfId="0">
      <alignment horizontal="left" vertical="center"/>
    </xf>
    <xf numFmtId="0" fontId="116" fillId="30" borderId="55" applyAlignment="1" pivotButton="0" quotePrefix="0" xfId="0">
      <alignment horizontal="left" vertical="center"/>
    </xf>
    <xf numFmtId="0" fontId="116" fillId="30" borderId="52" applyAlignment="1" pivotButton="0" quotePrefix="0" xfId="0">
      <alignment horizontal="left" vertical="center"/>
    </xf>
    <xf numFmtId="0" fontId="113" fillId="0" borderId="0" applyAlignment="1" pivotButton="0" quotePrefix="0" xfId="0">
      <alignment horizontal="center" vertical="center"/>
    </xf>
    <xf numFmtId="0" fontId="118" fillId="0" borderId="152" applyAlignment="1" pivotButton="0" quotePrefix="0" xfId="0">
      <alignment horizontal="center" vertical="center"/>
    </xf>
    <xf numFmtId="166" fontId="118" fillId="0" borderId="152" applyAlignment="1" pivotButton="0" quotePrefix="0" xfId="0">
      <alignment horizontal="center" vertical="center" shrinkToFit="1"/>
    </xf>
    <xf numFmtId="164" fontId="118" fillId="0" borderId="152" applyAlignment="1" pivotButton="0" quotePrefix="0" xfId="1267">
      <alignment horizontal="center" vertical="center" shrinkToFit="1"/>
    </xf>
    <xf numFmtId="0" fontId="116" fillId="32" borderId="33" applyAlignment="1" pivotButton="0" quotePrefix="0" xfId="0">
      <alignment horizontal="center" vertical="center"/>
    </xf>
    <xf numFmtId="0" fontId="116" fillId="32" borderId="35" applyAlignment="1" pivotButton="0" quotePrefix="0" xfId="0">
      <alignment horizontal="center" vertical="center"/>
    </xf>
    <xf numFmtId="0" fontId="116" fillId="32" borderId="34" applyAlignment="1" pivotButton="0" quotePrefix="0" xfId="0">
      <alignment horizontal="center" vertical="center"/>
    </xf>
    <xf numFmtId="166" fontId="116" fillId="32" borderId="33" applyAlignment="1" pivotButton="0" quotePrefix="0" xfId="0">
      <alignment horizontal="right" vertical="center"/>
    </xf>
    <xf numFmtId="166" fontId="116" fillId="32" borderId="35" applyAlignment="1" pivotButton="0" quotePrefix="0" xfId="0">
      <alignment horizontal="right" vertical="center"/>
    </xf>
    <xf numFmtId="166" fontId="116" fillId="32" borderId="34" applyAlignment="1" pivotButton="0" quotePrefix="0" xfId="0">
      <alignment horizontal="right" vertical="center"/>
    </xf>
    <xf numFmtId="0" fontId="124" fillId="0" borderId="0" applyAlignment="1" pivotButton="0" quotePrefix="0" xfId="0">
      <alignment horizontal="center" vertical="center"/>
    </xf>
    <xf numFmtId="0" fontId="126" fillId="0" borderId="33" applyAlignment="1" pivotButton="0" quotePrefix="0" xfId="0">
      <alignment horizontal="center" vertical="center"/>
    </xf>
    <xf numFmtId="0" fontId="126" fillId="0" borderId="35" applyAlignment="1" pivotButton="0" quotePrefix="0" xfId="0">
      <alignment horizontal="center" vertical="center"/>
    </xf>
    <xf numFmtId="169" fontId="123" fillId="0" borderId="33" applyAlignment="1" pivotButton="0" quotePrefix="0" xfId="0">
      <alignment horizontal="center" vertical="center" wrapText="1"/>
    </xf>
    <xf numFmtId="169" fontId="123" fillId="0" borderId="34" applyAlignment="1" pivotButton="0" quotePrefix="0" xfId="0">
      <alignment horizontal="center" vertical="center" wrapText="1"/>
    </xf>
    <xf numFmtId="0" fontId="125" fillId="28" borderId="38" applyAlignment="1" pivotButton="0" quotePrefix="0" xfId="0">
      <alignment horizontal="center" vertical="center" wrapText="1"/>
    </xf>
    <xf numFmtId="0" fontId="125" fillId="28" borderId="37" applyAlignment="1" pivotButton="0" quotePrefix="0" xfId="0">
      <alignment horizontal="center" vertical="center" wrapText="1"/>
    </xf>
    <xf numFmtId="0" fontId="123" fillId="28" borderId="167" applyAlignment="1" pivotButton="0" quotePrefix="0" xfId="0">
      <alignment horizontal="right" vertical="center" indent="1"/>
    </xf>
    <xf numFmtId="0" fontId="123" fillId="28" borderId="35" applyAlignment="1" pivotButton="0" quotePrefix="0" xfId="0">
      <alignment horizontal="right" vertical="center" indent="1"/>
    </xf>
    <xf numFmtId="0" fontId="123" fillId="28" borderId="34" applyAlignment="1" pivotButton="0" quotePrefix="0" xfId="0">
      <alignment horizontal="right" vertical="center" indent="1"/>
    </xf>
    <xf numFmtId="166" fontId="125" fillId="28" borderId="38" applyAlignment="1" pivotButton="0" quotePrefix="0" xfId="0">
      <alignment horizontal="center" vertical="center"/>
    </xf>
    <xf numFmtId="166" fontId="125" fillId="28" borderId="168" applyAlignment="1" pivotButton="0" quotePrefix="0" xfId="0">
      <alignment horizontal="center" vertical="center"/>
    </xf>
    <xf numFmtId="164" fontId="126" fillId="0" borderId="33" applyAlignment="1" pivotButton="0" quotePrefix="0" xfId="1267">
      <alignment horizontal="center" vertical="center"/>
    </xf>
    <xf numFmtId="164" fontId="126" fillId="0" borderId="169" applyAlignment="1" pivotButton="0" quotePrefix="0" xfId="1267">
      <alignment horizontal="center" vertical="center"/>
    </xf>
    <xf numFmtId="0" fontId="136" fillId="28" borderId="166" applyAlignment="1" pivotButton="0" quotePrefix="0" xfId="0">
      <alignment horizontal="left" vertical="center"/>
    </xf>
    <xf numFmtId="0" fontId="136" fillId="28" borderId="112" applyAlignment="1" pivotButton="0" quotePrefix="0" xfId="0">
      <alignment horizontal="left" vertical="center"/>
    </xf>
    <xf numFmtId="0" fontId="136" fillId="28" borderId="165" applyAlignment="1" pivotButton="0" quotePrefix="0" xfId="0">
      <alignment horizontal="left" vertical="center"/>
    </xf>
    <xf numFmtId="0" fontId="125" fillId="0" borderId="33" applyAlignment="1" pivotButton="0" quotePrefix="0" xfId="0">
      <alignment horizontal="center" vertical="center"/>
    </xf>
    <xf numFmtId="0" fontId="125" fillId="0" borderId="35" applyAlignment="1" pivotButton="0" quotePrefix="0" xfId="0">
      <alignment horizontal="center" vertical="center"/>
    </xf>
    <xf numFmtId="0" fontId="125" fillId="0" borderId="169" applyAlignment="1" pivotButton="0" quotePrefix="0" xfId="0">
      <alignment horizontal="center" vertical="center"/>
    </xf>
    <xf numFmtId="169" fontId="123" fillId="0" borderId="35" applyAlignment="1" pivotButton="0" quotePrefix="0" xfId="0">
      <alignment horizontal="center" vertical="center" wrapText="1"/>
    </xf>
    <xf numFmtId="166" fontId="126" fillId="0" borderId="33" applyAlignment="1" pivotButton="0" quotePrefix="0" xfId="0">
      <alignment horizontal="center" vertical="center" wrapText="1"/>
    </xf>
    <xf numFmtId="166" fontId="126" fillId="0" borderId="169" applyAlignment="1" pivotButton="0" quotePrefix="0" xfId="0">
      <alignment horizontal="center" vertical="center" wrapText="1"/>
    </xf>
    <xf numFmtId="0" fontId="122" fillId="0" borderId="131" applyAlignment="1" pivotButton="0" quotePrefix="0" xfId="0">
      <alignment horizontal="center" vertical="center"/>
    </xf>
    <xf numFmtId="0" fontId="122" fillId="0" borderId="132" applyAlignment="1" pivotButton="0" quotePrefix="0" xfId="0">
      <alignment horizontal="center" vertical="center"/>
    </xf>
    <xf numFmtId="0" fontId="123" fillId="0" borderId="133" applyAlignment="1" pivotButton="0" quotePrefix="0" xfId="0">
      <alignment horizontal="left" vertical="center" indent="1"/>
    </xf>
    <xf numFmtId="0" fontId="123" fillId="0" borderId="134" applyAlignment="1" pivotButton="0" quotePrefix="0" xfId="0">
      <alignment horizontal="left" vertical="center" indent="1"/>
    </xf>
    <xf numFmtId="0" fontId="123" fillId="0" borderId="132" applyAlignment="1" pivotButton="0" quotePrefix="0" xfId="0">
      <alignment horizontal="left" vertical="center" indent="1"/>
    </xf>
    <xf numFmtId="0" fontId="137" fillId="28" borderId="58" applyAlignment="1" pivotButton="0" quotePrefix="0" xfId="0">
      <alignment vertical="center"/>
    </xf>
    <xf numFmtId="0" fontId="137" fillId="28" borderId="59" applyAlignment="1" pivotButton="0" quotePrefix="0" xfId="0">
      <alignment vertical="center"/>
    </xf>
    <xf numFmtId="0" fontId="137" fillId="28" borderId="60" applyAlignment="1" pivotButton="0" quotePrefix="0" xfId="0">
      <alignment vertical="center"/>
    </xf>
    <xf numFmtId="166" fontId="125" fillId="28" borderId="41" applyAlignment="1" pivotButton="0" quotePrefix="0" xfId="0">
      <alignment horizontal="center" vertical="center"/>
    </xf>
    <xf numFmtId="166" fontId="125" fillId="28" borderId="170" applyAlignment="1" pivotButton="0" quotePrefix="0" xfId="0">
      <alignment horizontal="center" vertical="center"/>
    </xf>
    <xf numFmtId="0" fontId="122" fillId="32" borderId="127" applyAlignment="1" pivotButton="0" quotePrefix="0" xfId="0">
      <alignment horizontal="center" vertical="center"/>
    </xf>
    <xf numFmtId="0" fontId="122" fillId="32" borderId="34" applyAlignment="1" pivotButton="0" quotePrefix="0" xfId="0">
      <alignment horizontal="center" vertical="center"/>
    </xf>
    <xf numFmtId="0" fontId="122" fillId="0" borderId="128" applyAlignment="1" pivotButton="0" quotePrefix="0" xfId="0">
      <alignment horizontal="center" vertical="center"/>
    </xf>
    <xf numFmtId="0" fontId="122" fillId="0" borderId="50" applyAlignment="1" pivotButton="0" quotePrefix="0" xfId="0">
      <alignment horizontal="center" vertical="center"/>
    </xf>
    <xf numFmtId="0" fontId="122" fillId="0" borderId="129" applyAlignment="1" pivotButton="0" quotePrefix="0" xfId="0">
      <alignment horizontal="center" vertical="center"/>
    </xf>
    <xf numFmtId="0" fontId="122" fillId="0" borderId="46" applyAlignment="1" pivotButton="0" quotePrefix="0" xfId="0">
      <alignment horizontal="center" vertical="center"/>
    </xf>
    <xf numFmtId="0" fontId="122" fillId="0" borderId="125" applyAlignment="1" pivotButton="0" quotePrefix="0" xfId="0">
      <alignment horizontal="center" vertical="center"/>
    </xf>
    <xf numFmtId="0" fontId="122" fillId="0" borderId="120" applyAlignment="1" pivotButton="0" quotePrefix="0" xfId="0">
      <alignment horizontal="center" vertical="center"/>
    </xf>
    <xf numFmtId="0" fontId="122" fillId="0" borderId="126" applyAlignment="1" pivotButton="0" quotePrefix="0" xfId="0">
      <alignment horizontal="center" vertical="center"/>
    </xf>
    <xf numFmtId="0" fontId="122" fillId="0" borderId="115" applyAlignment="1" pivotButton="0" quotePrefix="0" xfId="0">
      <alignment horizontal="center" vertical="center"/>
    </xf>
    <xf numFmtId="0" fontId="122" fillId="0" borderId="130" applyAlignment="1" pivotButton="0" quotePrefix="0" xfId="0">
      <alignment horizontal="center" vertical="center"/>
    </xf>
    <xf numFmtId="0" fontId="122" fillId="0" borderId="123" applyAlignment="1" pivotButton="0" quotePrefix="0" xfId="0">
      <alignment horizontal="center" vertical="center"/>
    </xf>
    <xf numFmtId="0" fontId="123" fillId="0" borderId="48" applyAlignment="1" pivotButton="0" quotePrefix="0" xfId="0">
      <alignment horizontal="left" vertical="center" wrapText="1" indent="1"/>
    </xf>
    <xf numFmtId="0" fontId="123" fillId="0" borderId="49" applyAlignment="1" pivotButton="0" quotePrefix="0" xfId="0">
      <alignment horizontal="left" vertical="center" wrapText="1" indent="1"/>
    </xf>
    <xf numFmtId="0" fontId="123" fillId="0" borderId="50" applyAlignment="1" pivotButton="0" quotePrefix="0" xfId="0">
      <alignment horizontal="left" vertical="center" wrapText="1" indent="1"/>
    </xf>
    <xf numFmtId="0" fontId="123" fillId="0" borderId="47" applyAlignment="1" pivotButton="0" quotePrefix="0" xfId="0">
      <alignment horizontal="left" vertical="center" wrapText="1" indent="1"/>
    </xf>
    <xf numFmtId="0" fontId="123" fillId="0" borderId="0" applyAlignment="1" pivotButton="0" quotePrefix="0" xfId="0">
      <alignment horizontal="left" vertical="center" wrapText="1" indent="1"/>
    </xf>
    <xf numFmtId="0" fontId="123" fillId="0" borderId="46" applyAlignment="1" pivotButton="0" quotePrefix="0" xfId="0">
      <alignment horizontal="left" vertical="center" wrapText="1" indent="1"/>
    </xf>
    <xf numFmtId="0" fontId="123" fillId="0" borderId="118" applyAlignment="1" pivotButton="0" quotePrefix="0" xfId="0">
      <alignment horizontal="left" vertical="center" wrapText="1" indent="1"/>
    </xf>
    <xf numFmtId="0" fontId="123" fillId="0" borderId="119" applyAlignment="1" pivotButton="0" quotePrefix="0" xfId="0">
      <alignment horizontal="left" vertical="center" wrapText="1" indent="1"/>
    </xf>
    <xf numFmtId="0" fontId="123" fillId="0" borderId="120" applyAlignment="1" pivotButton="0" quotePrefix="0" xfId="0">
      <alignment horizontal="left" vertical="center" wrapText="1" indent="1"/>
    </xf>
    <xf numFmtId="0" fontId="122" fillId="32" borderId="33" applyAlignment="1" pivotButton="0" quotePrefix="0" xfId="0">
      <alignment horizontal="center" vertical="center"/>
    </xf>
    <xf numFmtId="0" fontId="122" fillId="32" borderId="35" applyAlignment="1" pivotButton="0" quotePrefix="0" xfId="0">
      <alignment horizontal="center" vertical="center"/>
    </xf>
    <xf numFmtId="0" fontId="123" fillId="0" borderId="116" applyAlignment="1" pivotButton="0" quotePrefix="0" xfId="0">
      <alignment horizontal="left" vertical="center" indent="1"/>
    </xf>
    <xf numFmtId="0" fontId="123" fillId="0" borderId="121" applyAlignment="1" pivotButton="0" quotePrefix="0" xfId="0">
      <alignment horizontal="left" vertical="center" indent="1"/>
    </xf>
    <xf numFmtId="0" fontId="123" fillId="0" borderId="115" applyAlignment="1" pivotButton="0" quotePrefix="0" xfId="0">
      <alignment horizontal="left" vertical="center" indent="1"/>
    </xf>
    <xf numFmtId="0" fontId="123" fillId="0" borderId="117" applyAlignment="1" pivotButton="0" quotePrefix="0" xfId="0">
      <alignment horizontal="left" vertical="center" indent="1"/>
    </xf>
    <xf numFmtId="0" fontId="123" fillId="0" borderId="122" applyAlignment="1" pivotButton="0" quotePrefix="0" xfId="0">
      <alignment horizontal="left" vertical="center" indent="1"/>
    </xf>
    <xf numFmtId="0" fontId="123" fillId="0" borderId="123" applyAlignment="1" pivotButton="0" quotePrefix="0" xfId="0">
      <alignment horizontal="left" vertical="center" indent="1"/>
    </xf>
    <xf numFmtId="0" fontId="97" fillId="0" borderId="59" applyAlignment="1" pivotButton="0" quotePrefix="0" xfId="0">
      <alignment horizontal="center"/>
    </xf>
    <xf numFmtId="166" fontId="126" fillId="0" borderId="33" applyAlignment="1" pivotButton="0" quotePrefix="0" xfId="0">
      <alignment horizontal="center" vertical="center"/>
    </xf>
    <xf numFmtId="166" fontId="126" fillId="0" borderId="169" applyAlignment="1" pivotButton="0" quotePrefix="0" xfId="0">
      <alignment horizontal="center" vertical="center"/>
    </xf>
    <xf numFmtId="0" fontId="123" fillId="0" borderId="118" applyAlignment="1" pivotButton="0" quotePrefix="0" xfId="0">
      <alignment horizontal="left" vertical="center" indent="1"/>
    </xf>
    <xf numFmtId="0" fontId="123" fillId="0" borderId="119" applyAlignment="1" pivotButton="0" quotePrefix="0" xfId="0">
      <alignment horizontal="left" vertical="center" indent="1"/>
    </xf>
    <xf numFmtId="0" fontId="123" fillId="0" borderId="120" applyAlignment="1" pivotButton="0" quotePrefix="0" xfId="0">
      <alignment horizontal="left" vertical="center" indent="1"/>
    </xf>
    <xf numFmtId="166" fontId="125" fillId="0" borderId="33" applyAlignment="1" pivotButton="0" quotePrefix="0" xfId="0">
      <alignment horizontal="center" vertical="center"/>
    </xf>
    <xf numFmtId="166" fontId="125" fillId="0" borderId="169" applyAlignment="1" pivotButton="0" quotePrefix="0" xfId="0">
      <alignment horizontal="center" vertical="center"/>
    </xf>
    <xf numFmtId="0" fontId="126" fillId="0" borderId="34" applyAlignment="1" pivotButton="0" quotePrefix="0" xfId="0">
      <alignment horizontal="center" vertical="center"/>
    </xf>
    <xf numFmtId="0" fontId="136" fillId="37" borderId="166" applyAlignment="1" pivotButton="0" quotePrefix="0" xfId="0">
      <alignment horizontal="left" vertical="center"/>
    </xf>
    <xf numFmtId="0" fontId="136" fillId="37" borderId="112" applyAlignment="1" pivotButton="0" quotePrefix="0" xfId="0">
      <alignment horizontal="left" vertical="center"/>
    </xf>
    <xf numFmtId="0" fontId="136" fillId="37" borderId="51" applyAlignment="1" pivotButton="0" quotePrefix="0" xfId="0">
      <alignment horizontal="left" vertical="center"/>
    </xf>
    <xf numFmtId="0" fontId="125" fillId="37" borderId="38" applyAlignment="1" pivotButton="0" quotePrefix="0" xfId="0">
      <alignment horizontal="center" vertical="center" wrapText="1"/>
    </xf>
    <xf numFmtId="0" fontId="125" fillId="37" borderId="37" applyAlignment="1" pivotButton="0" quotePrefix="0" xfId="0">
      <alignment horizontal="center" vertical="center" wrapText="1"/>
    </xf>
    <xf numFmtId="166" fontId="125" fillId="37" borderId="38" applyAlignment="1" pivotButton="0" quotePrefix="0" xfId="0">
      <alignment horizontal="center" vertical="center"/>
    </xf>
    <xf numFmtId="166" fontId="125" fillId="37" borderId="168" applyAlignment="1" pivotButton="0" quotePrefix="0" xfId="0">
      <alignment horizontal="center" vertical="center"/>
    </xf>
    <xf numFmtId="169" fontId="123" fillId="0" borderId="33" applyAlignment="1" pivotButton="0" quotePrefix="0" xfId="0">
      <alignment horizontal="center" vertical="center"/>
    </xf>
    <xf numFmtId="169" fontId="123" fillId="0" borderId="34" applyAlignment="1" pivotButton="0" quotePrefix="0" xfId="0">
      <alignment horizontal="center" vertical="center"/>
    </xf>
    <xf numFmtId="0" fontId="126" fillId="29" borderId="33" applyAlignment="1" pivotButton="0" quotePrefix="0" xfId="0">
      <alignment horizontal="center" vertical="center"/>
    </xf>
    <xf numFmtId="0" fontId="126" fillId="29" borderId="35" applyAlignment="1" pivotButton="0" quotePrefix="0" xfId="0">
      <alignment horizontal="center" vertical="center"/>
    </xf>
    <xf numFmtId="0" fontId="126" fillId="29" borderId="169" applyAlignment="1" pivotButton="0" quotePrefix="0" xfId="0">
      <alignment horizontal="center" vertical="center"/>
    </xf>
    <xf numFmtId="0" fontId="123" fillId="37" borderId="167" applyAlignment="1" pivotButton="0" quotePrefix="0" xfId="0">
      <alignment horizontal="right" vertical="center" indent="1"/>
    </xf>
    <xf numFmtId="0" fontId="123" fillId="37" borderId="35" applyAlignment="1" pivotButton="0" quotePrefix="0" xfId="0">
      <alignment horizontal="right" vertical="center" indent="1"/>
    </xf>
    <xf numFmtId="0" fontId="123" fillId="37" borderId="34" applyAlignment="1" pivotButton="0" quotePrefix="0" xfId="0">
      <alignment horizontal="right" vertical="center" indent="1"/>
    </xf>
    <xf numFmtId="169" fontId="126" fillId="0" borderId="33" applyAlignment="1" pivotButton="0" quotePrefix="0" xfId="0">
      <alignment horizontal="center" vertical="center"/>
    </xf>
    <xf numFmtId="169" fontId="126" fillId="0" borderId="35" applyAlignment="1" pivotButton="0" quotePrefix="0" xfId="0">
      <alignment horizontal="center" vertical="center"/>
    </xf>
    <xf numFmtId="166" fontId="125" fillId="37" borderId="41" applyAlignment="1" pivotButton="0" quotePrefix="0" xfId="0">
      <alignment horizontal="center" vertical="center"/>
    </xf>
    <xf numFmtId="166" fontId="125" fillId="37" borderId="170" applyAlignment="1" pivotButton="0" quotePrefix="0" xfId="0">
      <alignment horizontal="center" vertical="center"/>
    </xf>
    <xf numFmtId="0" fontId="137" fillId="37" borderId="58" applyAlignment="1" pivotButton="0" quotePrefix="0" xfId="0">
      <alignment vertical="center"/>
    </xf>
    <xf numFmtId="0" fontId="137" fillId="37" borderId="59" applyAlignment="1" pivotButton="0" quotePrefix="0" xfId="0">
      <alignment vertical="center"/>
    </xf>
    <xf numFmtId="0" fontId="137" fillId="37" borderId="60" applyAlignment="1" pivotButton="0" quotePrefix="0" xfId="0">
      <alignment vertical="center"/>
    </xf>
    <xf numFmtId="0" fontId="136" fillId="34" borderId="166" applyAlignment="1" pivotButton="0" quotePrefix="0" xfId="0">
      <alignment horizontal="left" vertical="center"/>
    </xf>
    <xf numFmtId="0" fontId="136" fillId="34" borderId="112" applyAlignment="1" pivotButton="0" quotePrefix="0" xfId="0">
      <alignment horizontal="left" vertical="center"/>
    </xf>
    <xf numFmtId="0" fontId="136" fillId="34" borderId="51" applyAlignment="1" pivotButton="0" quotePrefix="0" xfId="0">
      <alignment horizontal="left" vertical="center"/>
    </xf>
    <xf numFmtId="166" fontId="125" fillId="34" borderId="38" applyAlignment="1" pivotButton="0" quotePrefix="0" xfId="0">
      <alignment horizontal="center" vertical="center"/>
    </xf>
    <xf numFmtId="166" fontId="125" fillId="34" borderId="168" applyAlignment="1" pivotButton="0" quotePrefix="0" xfId="0">
      <alignment horizontal="center" vertical="center"/>
    </xf>
    <xf numFmtId="0" fontId="137" fillId="34" borderId="58" applyAlignment="1" pivotButton="0" quotePrefix="0" xfId="0">
      <alignment vertical="center"/>
    </xf>
    <xf numFmtId="0" fontId="137" fillId="34" borderId="59" applyAlignment="1" pivotButton="0" quotePrefix="0" xfId="0">
      <alignment vertical="center"/>
    </xf>
    <xf numFmtId="0" fontId="137" fillId="34" borderId="60" applyAlignment="1" pivotButton="0" quotePrefix="0" xfId="0">
      <alignment vertical="center"/>
    </xf>
    <xf numFmtId="166" fontId="125" fillId="34" borderId="41" applyAlignment="1" pivotButton="0" quotePrefix="0" xfId="0">
      <alignment horizontal="center" vertical="center"/>
    </xf>
    <xf numFmtId="166" fontId="125" fillId="34" borderId="170" applyAlignment="1" pivotButton="0" quotePrefix="0" xfId="0">
      <alignment horizontal="center" vertical="center"/>
    </xf>
    <xf numFmtId="0" fontId="123" fillId="34" borderId="167" applyAlignment="1" pivotButton="0" quotePrefix="0" xfId="0">
      <alignment horizontal="right" vertical="center" indent="1"/>
    </xf>
    <xf numFmtId="0" fontId="123" fillId="34" borderId="35" applyAlignment="1" pivotButton="0" quotePrefix="0" xfId="0">
      <alignment horizontal="right" vertical="center" indent="1"/>
    </xf>
    <xf numFmtId="0" fontId="123" fillId="34" borderId="34" applyAlignment="1" pivotButton="0" quotePrefix="0" xfId="0">
      <alignment horizontal="right" vertical="center" indent="1"/>
    </xf>
    <xf numFmtId="0" fontId="138" fillId="0" borderId="126" applyAlignment="1" pivotButton="0" quotePrefix="0" xfId="0">
      <alignment horizontal="center" vertical="center"/>
    </xf>
    <xf numFmtId="0" fontId="138" fillId="0" borderId="121" applyAlignment="1" pivotButton="0" quotePrefix="0" xfId="0">
      <alignment horizontal="center" vertical="center"/>
    </xf>
    <xf numFmtId="0" fontId="138" fillId="0" borderId="115" applyAlignment="1" pivotButton="0" quotePrefix="0" xfId="0">
      <alignment horizontal="center" vertical="center"/>
    </xf>
    <xf numFmtId="0" fontId="138" fillId="0" borderId="131" applyAlignment="1" pivotButton="0" quotePrefix="0" xfId="0">
      <alignment horizontal="center" vertical="center"/>
    </xf>
    <xf numFmtId="0" fontId="138" fillId="0" borderId="134" applyAlignment="1" pivotButton="0" quotePrefix="0" xfId="0">
      <alignment horizontal="center" vertical="center"/>
    </xf>
    <xf numFmtId="0" fontId="138" fillId="0" borderId="132" applyAlignment="1" pivotButton="0" quotePrefix="0" xfId="0">
      <alignment horizontal="center" vertical="center"/>
    </xf>
    <xf numFmtId="0" fontId="148" fillId="32" borderId="33" applyAlignment="1" pivotButton="0" quotePrefix="0" xfId="0">
      <alignment horizontal="center" vertical="center"/>
    </xf>
    <xf numFmtId="0" fontId="148" fillId="32" borderId="34" applyAlignment="1" pivotButton="0" quotePrefix="0" xfId="0">
      <alignment horizontal="center" vertical="center"/>
    </xf>
    <xf numFmtId="0" fontId="138" fillId="0" borderId="118" applyAlignment="1" pivotButton="0" quotePrefix="0" xfId="0">
      <alignment horizontal="center" vertical="center" wrapText="1"/>
    </xf>
    <xf numFmtId="0" fontId="138" fillId="0" borderId="120" applyAlignment="1" pivotButton="0" quotePrefix="0" xfId="0">
      <alignment horizontal="center" vertical="center" wrapText="1"/>
    </xf>
    <xf numFmtId="0" fontId="138" fillId="0" borderId="116" applyAlignment="1" pivotButton="0" quotePrefix="0" xfId="0">
      <alignment horizontal="center" vertical="center" wrapText="1"/>
    </xf>
    <xf numFmtId="0" fontId="138" fillId="0" borderId="115" applyAlignment="1" pivotButton="0" quotePrefix="0" xfId="0">
      <alignment horizontal="center" vertical="center" wrapText="1"/>
    </xf>
    <xf numFmtId="0" fontId="138" fillId="0" borderId="133" applyAlignment="1" pivotButton="0" quotePrefix="0" xfId="0">
      <alignment horizontal="center" vertical="center" wrapText="1"/>
    </xf>
    <xf numFmtId="0" fontId="138" fillId="0" borderId="132" applyAlignment="1" pivotButton="0" quotePrefix="0" xfId="0">
      <alignment horizontal="center" vertical="center" wrapText="1"/>
    </xf>
    <xf numFmtId="0" fontId="148" fillId="32" borderId="127" applyAlignment="1" pivotButton="0" quotePrefix="0" xfId="0">
      <alignment horizontal="center" vertical="center"/>
    </xf>
    <xf numFmtId="0" fontId="148" fillId="32" borderId="35" applyAlignment="1" pivotButton="0" quotePrefix="0" xfId="0">
      <alignment horizontal="center" vertical="center"/>
    </xf>
    <xf numFmtId="0" fontId="138" fillId="0" borderId="125" applyAlignment="1" pivotButton="0" quotePrefix="0" xfId="0">
      <alignment horizontal="center" vertical="center"/>
    </xf>
    <xf numFmtId="0" fontId="138" fillId="0" borderId="119" applyAlignment="1" pivotButton="0" quotePrefix="0" xfId="0">
      <alignment horizontal="center" vertical="center"/>
    </xf>
    <xf numFmtId="0" fontId="138" fillId="0" borderId="120" applyAlignment="1" pivotButton="0" quotePrefix="0" xfId="0">
      <alignment horizontal="center" vertical="center"/>
    </xf>
    <xf numFmtId="0" fontId="141" fillId="34" borderId="90" applyAlignment="1" pivotButton="0" quotePrefix="0" xfId="0">
      <alignment horizontal="center" vertical="center"/>
    </xf>
    <xf numFmtId="0" fontId="141" fillId="34" borderId="29" applyAlignment="1" pivotButton="0" quotePrefix="0" xfId="0">
      <alignment horizontal="center" vertical="center"/>
    </xf>
    <xf numFmtId="0" fontId="141" fillId="34" borderId="91" applyAlignment="1" pivotButton="0" quotePrefix="0" xfId="0">
      <alignment horizontal="center" vertical="center"/>
    </xf>
    <xf numFmtId="0" fontId="141" fillId="34" borderId="92" applyAlignment="1" pivotButton="0" quotePrefix="0" xfId="0">
      <alignment horizontal="center" vertical="center"/>
    </xf>
    <xf numFmtId="0" fontId="141" fillId="34" borderId="7" applyAlignment="1" pivotButton="0" quotePrefix="0" xfId="0">
      <alignment horizontal="center" vertical="center"/>
    </xf>
    <xf numFmtId="0" fontId="141" fillId="34" borderId="84" applyAlignment="1" pivotButton="0" quotePrefix="0" xfId="0">
      <alignment horizontal="center" vertical="center"/>
    </xf>
    <xf numFmtId="0" fontId="122" fillId="0" borderId="87" applyAlignment="1" pivotButton="0" quotePrefix="0" xfId="0">
      <alignment horizontal="center" vertical="center"/>
    </xf>
    <xf numFmtId="0" fontId="122" fillId="0" borderId="124" applyAlignment="1" pivotButton="0" quotePrefix="0" xfId="0">
      <alignment horizontal="center" vertical="center"/>
    </xf>
    <xf numFmtId="0" fontId="122" fillId="0" borderId="88" applyAlignment="1" pivotButton="0" quotePrefix="0" xfId="0">
      <alignment horizontal="center" vertical="center"/>
    </xf>
    <xf numFmtId="0" fontId="122" fillId="0" borderId="93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/>
    </xf>
    <xf numFmtId="0" fontId="122" fillId="0" borderId="30" applyAlignment="1" pivotButton="0" quotePrefix="0" xfId="0">
      <alignment horizontal="center" vertical="center"/>
    </xf>
    <xf numFmtId="0" fontId="122" fillId="0" borderId="92" applyAlignment="1" pivotButton="0" quotePrefix="0" xfId="0">
      <alignment horizontal="center" vertical="center"/>
    </xf>
    <xf numFmtId="0" fontId="122" fillId="0" borderId="7" applyAlignment="1" pivotButton="0" quotePrefix="0" xfId="0">
      <alignment horizontal="center" vertical="center"/>
    </xf>
    <xf numFmtId="0" fontId="122" fillId="0" borderId="84" applyAlignment="1" pivotButton="0" quotePrefix="0" xfId="0">
      <alignment horizontal="center" vertical="center"/>
    </xf>
    <xf numFmtId="164" fontId="141" fillId="0" borderId="90" applyAlignment="1" pivotButton="0" quotePrefix="0" xfId="1267">
      <alignment horizontal="center" vertical="center" wrapText="1"/>
    </xf>
    <xf numFmtId="164" fontId="141" fillId="0" borderId="29" applyAlignment="1" pivotButton="0" quotePrefix="0" xfId="1267">
      <alignment horizontal="center" vertical="center" wrapText="1"/>
    </xf>
    <xf numFmtId="164" fontId="141" fillId="0" borderId="91" applyAlignment="1" pivotButton="0" quotePrefix="0" xfId="1267">
      <alignment horizontal="center" vertical="center" wrapText="1"/>
    </xf>
    <xf numFmtId="164" fontId="141" fillId="0" borderId="93" applyAlignment="1" pivotButton="0" quotePrefix="0" xfId="1267">
      <alignment horizontal="center" vertical="center" wrapText="1"/>
    </xf>
    <xf numFmtId="164" fontId="141" fillId="0" borderId="0" applyAlignment="1" pivotButton="0" quotePrefix="0" xfId="1267">
      <alignment horizontal="center" vertical="center" wrapText="1"/>
    </xf>
    <xf numFmtId="164" fontId="141" fillId="0" borderId="30" applyAlignment="1" pivotButton="0" quotePrefix="0" xfId="1267">
      <alignment horizontal="center" vertical="center" wrapText="1"/>
    </xf>
    <xf numFmtId="164" fontId="141" fillId="0" borderId="92" applyAlignment="1" pivotButton="0" quotePrefix="0" xfId="1267">
      <alignment horizontal="center" vertical="center" wrapText="1"/>
    </xf>
    <xf numFmtId="164" fontId="141" fillId="0" borderId="7" applyAlignment="1" pivotButton="0" quotePrefix="0" xfId="1267">
      <alignment horizontal="center" vertical="center" wrapText="1"/>
    </xf>
    <xf numFmtId="164" fontId="141" fillId="0" borderId="84" applyAlignment="1" pivotButton="0" quotePrefix="0" xfId="1267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2" fillId="0" borderId="30" applyAlignment="1" pivotButton="0" quotePrefix="0" xfId="0">
      <alignment horizontal="center" vertical="center" wrapText="1"/>
    </xf>
    <xf numFmtId="0" fontId="122" fillId="0" borderId="92" applyAlignment="1" pivotButton="0" quotePrefix="0" xfId="0">
      <alignment horizontal="center" vertical="center" wrapText="1"/>
    </xf>
    <xf numFmtId="0" fontId="122" fillId="0" borderId="7" applyAlignment="1" pivotButton="0" quotePrefix="0" xfId="0">
      <alignment horizontal="center" vertical="center" wrapText="1"/>
    </xf>
    <xf numFmtId="0" fontId="122" fillId="0" borderId="84" applyAlignment="1" pivotButton="0" quotePrefix="0" xfId="0">
      <alignment horizontal="center" vertical="center" wrapText="1"/>
    </xf>
    <xf numFmtId="0" fontId="142" fillId="0" borderId="92" applyAlignment="1" pivotButton="0" quotePrefix="0" xfId="0">
      <alignment horizontal="center" vertical="center"/>
    </xf>
    <xf numFmtId="0" fontId="142" fillId="0" borderId="7" applyAlignment="1" pivotButton="0" quotePrefix="0" xfId="0">
      <alignment horizontal="center" vertical="center"/>
    </xf>
    <xf numFmtId="0" fontId="142" fillId="0" borderId="84" applyAlignment="1" pivotButton="0" quotePrefix="0" xfId="0">
      <alignment horizontal="center" vertical="center"/>
    </xf>
    <xf numFmtId="0" fontId="125" fillId="0" borderId="90" applyAlignment="1" pivotButton="0" quotePrefix="0" xfId="0">
      <alignment horizontal="center" vertical="center"/>
    </xf>
    <xf numFmtId="0" fontId="125" fillId="0" borderId="29" applyAlignment="1" pivotButton="0" quotePrefix="0" xfId="0">
      <alignment horizontal="center" vertical="center"/>
    </xf>
    <xf numFmtId="0" fontId="125" fillId="0" borderId="91" applyAlignment="1" pivotButton="0" quotePrefix="0" xfId="0">
      <alignment horizontal="center" vertical="center"/>
    </xf>
    <xf numFmtId="0" fontId="125" fillId="0" borderId="92" applyAlignment="1" pivotButton="0" quotePrefix="0" xfId="0">
      <alignment horizontal="center" vertical="center"/>
    </xf>
    <xf numFmtId="0" fontId="125" fillId="0" borderId="7" applyAlignment="1" pivotButton="0" quotePrefix="0" xfId="0">
      <alignment horizontal="center" vertical="center"/>
    </xf>
    <xf numFmtId="0" fontId="125" fillId="0" borderId="84" applyAlignment="1" pivotButton="0" quotePrefix="0" xfId="0">
      <alignment horizontal="center" vertical="center"/>
    </xf>
    <xf numFmtId="0" fontId="125" fillId="0" borderId="90" applyAlignment="1" pivotButton="0" quotePrefix="0" xfId="0">
      <alignment horizontal="center" vertical="center" wrapText="1"/>
    </xf>
    <xf numFmtId="0" fontId="125" fillId="0" borderId="29" applyAlignment="1" pivotButton="0" quotePrefix="0" xfId="0">
      <alignment horizontal="center" vertical="center" wrapText="1"/>
    </xf>
    <xf numFmtId="0" fontId="125" fillId="0" borderId="91" applyAlignment="1" pivotButton="0" quotePrefix="0" xfId="0">
      <alignment horizontal="center" vertical="center" wrapText="1"/>
    </xf>
    <xf numFmtId="0" fontId="124" fillId="0" borderId="58" applyAlignment="1" pivotButton="0" quotePrefix="0" xfId="0">
      <alignment horizontal="center" vertical="center"/>
    </xf>
    <xf numFmtId="0" fontId="124" fillId="0" borderId="59" applyAlignment="1" pivotButton="0" quotePrefix="0" xfId="0">
      <alignment horizontal="center" vertical="center"/>
    </xf>
    <xf numFmtId="0" fontId="124" fillId="0" borderId="60" applyAlignment="1" pivotButton="0" quotePrefix="0" xfId="0">
      <alignment horizontal="center" vertical="center"/>
    </xf>
    <xf numFmtId="0" fontId="125" fillId="0" borderId="93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5" fillId="0" borderId="30" applyAlignment="1" pivotButton="0" quotePrefix="0" xfId="0">
      <alignment horizontal="center" vertical="center" wrapText="1"/>
    </xf>
    <xf numFmtId="0" fontId="125" fillId="0" borderId="93" applyAlignment="1" pivotButton="0" quotePrefix="0" xfId="0">
      <alignment horizontal="center" vertical="center"/>
    </xf>
    <xf numFmtId="0" fontId="125" fillId="0" borderId="0" applyAlignment="1" pivotButton="0" quotePrefix="0" xfId="0">
      <alignment horizontal="center" vertical="center"/>
    </xf>
    <xf numFmtId="0" fontId="125" fillId="0" borderId="30" applyAlignment="1" pivotButton="0" quotePrefix="0" xfId="0">
      <alignment horizontal="center" vertical="center"/>
    </xf>
    <xf numFmtId="0" fontId="122" fillId="0" borderId="93" applyAlignment="1" pivotButton="0" quotePrefix="0" xfId="0">
      <alignment horizontal="center" vertical="center"/>
    </xf>
    <xf numFmtId="0" fontId="152" fillId="35" borderId="2" applyAlignment="1" pivotButton="0" quotePrefix="0" xfId="0">
      <alignment horizontal="center" vertical="center"/>
    </xf>
    <xf numFmtId="0" fontId="151" fillId="0" borderId="97" applyAlignment="1" pivotButton="0" quotePrefix="0" xfId="0">
      <alignment horizontal="center" vertical="center"/>
    </xf>
    <xf numFmtId="0" fontId="151" fillId="0" borderId="144" applyAlignment="1" pivotButton="0" quotePrefix="0" xfId="0">
      <alignment horizontal="center" vertical="center"/>
    </xf>
    <xf numFmtId="0" fontId="151" fillId="0" borderId="98" applyAlignment="1" pivotButton="0" quotePrefix="0" xfId="0">
      <alignment horizontal="center" vertical="center"/>
    </xf>
    <xf numFmtId="0" fontId="151" fillId="0" borderId="17" applyAlignment="1" pivotButton="0" quotePrefix="0" xfId="0">
      <alignment horizontal="center" vertical="center"/>
    </xf>
    <xf numFmtId="0" fontId="157" fillId="0" borderId="0" applyAlignment="1" pivotButton="0" quotePrefix="0" xfId="0">
      <alignment horizontal="center" vertical="center"/>
    </xf>
    <xf numFmtId="0" fontId="166" fillId="35" borderId="85" applyAlignment="1" pivotButton="0" quotePrefix="0" xfId="1267">
      <alignment horizontal="center" vertical="center" wrapText="1"/>
    </xf>
    <xf numFmtId="0" fontId="166" fillId="35" borderId="99" applyAlignment="1" pivotButton="0" quotePrefix="0" xfId="1267">
      <alignment horizontal="center" vertical="center"/>
    </xf>
    <xf numFmtId="0" fontId="166" fillId="35" borderId="72" applyAlignment="1" pivotButton="0" quotePrefix="0" xfId="0">
      <alignment horizontal="center" vertical="center"/>
    </xf>
    <xf numFmtId="0" fontId="166" fillId="35" borderId="94" applyAlignment="1" pivotButton="0" quotePrefix="0" xfId="0">
      <alignment horizontal="center" vertical="center"/>
    </xf>
    <xf numFmtId="0" fontId="166" fillId="35" borderId="83" applyAlignment="1" pivotButton="0" quotePrefix="0" xfId="1267">
      <alignment horizontal="center" vertical="center"/>
    </xf>
    <xf numFmtId="0" fontId="166" fillId="35" borderId="12" applyAlignment="1" pivotButton="0" quotePrefix="0" xfId="1267">
      <alignment horizontal="center" vertical="center"/>
    </xf>
    <xf numFmtId="0" fontId="166" fillId="35" borderId="76" applyAlignment="1" pivotButton="0" quotePrefix="0" xfId="0">
      <alignment horizontal="center" vertical="center"/>
    </xf>
    <xf numFmtId="0" fontId="166" fillId="35" borderId="95" applyAlignment="1" pivotButton="0" quotePrefix="0" xfId="0">
      <alignment horizontal="center" vertical="center"/>
    </xf>
    <xf numFmtId="0" fontId="166" fillId="35" borderId="73" applyAlignment="1" pivotButton="0" quotePrefix="0" xfId="0">
      <alignment horizontal="center" vertical="center"/>
    </xf>
    <xf numFmtId="0" fontId="166" fillId="35" borderId="77" applyAlignment="1" pivotButton="0" quotePrefix="0" xfId="0">
      <alignment horizontal="center" vertical="center"/>
    </xf>
    <xf numFmtId="0" fontId="166" fillId="35" borderId="72" applyAlignment="1" pivotButton="0" quotePrefix="0" xfId="1267">
      <alignment horizontal="center" vertical="center"/>
    </xf>
    <xf numFmtId="0" fontId="166" fillId="35" borderId="78" applyAlignment="1" pivotButton="0" quotePrefix="0" xfId="1267">
      <alignment horizontal="center" vertical="center"/>
    </xf>
    <xf numFmtId="0" fontId="166" fillId="35" borderId="28" applyAlignment="1" pivotButton="0" quotePrefix="0" xfId="1267">
      <alignment horizontal="center" vertical="center"/>
    </xf>
    <xf numFmtId="168" fontId="133" fillId="0" borderId="0" applyAlignment="1" pivotButton="0" quotePrefix="0" xfId="0">
      <alignment horizontal="center" vertical="center"/>
    </xf>
    <xf numFmtId="0" fontId="100" fillId="0" borderId="174" applyAlignment="1" pivotButton="0" quotePrefix="0" xfId="0">
      <alignment horizontal="center" vertical="center" wrapText="1"/>
    </xf>
    <xf numFmtId="0" fontId="0" fillId="0" borderId="62" pivotButton="0" quotePrefix="0" xfId="0"/>
    <xf numFmtId="168" fontId="108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109" fillId="32" borderId="175" applyAlignment="1" pivotButton="0" quotePrefix="0" xfId="0">
      <alignment horizontal="center" vertical="center" wrapText="1"/>
    </xf>
    <xf numFmtId="0" fontId="109" fillId="32" borderId="176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161" pivotButton="0" quotePrefix="0" xfId="0"/>
    <xf numFmtId="0" fontId="115" fillId="0" borderId="178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163" pivotButton="0" quotePrefix="0" xfId="0"/>
    <xf numFmtId="0" fontId="109" fillId="32" borderId="14" applyAlignment="1" pivotButton="0" quotePrefix="0" xfId="0">
      <alignment horizontal="center" vertical="center"/>
    </xf>
    <xf numFmtId="0" fontId="0" fillId="0" borderId="157" pivotButton="0" quotePrefix="0" xfId="0"/>
    <xf numFmtId="0" fontId="0" fillId="0" borderId="160" pivotButton="0" quotePrefix="0" xfId="0"/>
    <xf numFmtId="0" fontId="110" fillId="0" borderId="14" applyAlignment="1" pivotButton="0" quotePrefix="0" xfId="0">
      <alignment horizontal="center" vertical="center"/>
    </xf>
    <xf numFmtId="0" fontId="110" fillId="0" borderId="179" applyAlignment="1" pivotButton="0" quotePrefix="0" xfId="0">
      <alignment horizontal="left" vertical="center" indent="2"/>
    </xf>
    <xf numFmtId="0" fontId="0" fillId="0" borderId="158" pivotButton="0" quotePrefix="0" xfId="0"/>
    <xf numFmtId="0" fontId="110" fillId="0" borderId="179" applyAlignment="1" pivotButton="0" quotePrefix="0" xfId="0">
      <alignment horizontal="center" vertical="center"/>
    </xf>
    <xf numFmtId="0" fontId="110" fillId="0" borderId="179" applyAlignment="1" pivotButton="0" quotePrefix="0" xfId="0">
      <alignment horizontal="center" vertical="center" shrinkToFit="1"/>
    </xf>
    <xf numFmtId="0" fontId="0" fillId="0" borderId="164" pivotButton="0" quotePrefix="0" xfId="0"/>
    <xf numFmtId="0" fontId="109" fillId="32" borderId="181" applyAlignment="1" pivotButton="0" quotePrefix="0" xfId="0">
      <alignment horizontal="center" vertical="center"/>
    </xf>
    <xf numFmtId="0" fontId="0" fillId="0" borderId="82" pivotButton="0" quotePrefix="0" xfId="0"/>
    <xf numFmtId="0" fontId="0" fillId="0" borderId="159" pivotButton="0" quotePrefix="0" xfId="0"/>
    <xf numFmtId="0" fontId="110" fillId="0" borderId="181" applyAlignment="1" pivotButton="0" quotePrefix="0" xfId="0">
      <alignment horizontal="center" vertical="center"/>
    </xf>
    <xf numFmtId="0" fontId="110" fillId="0" borderId="182" applyAlignment="1" pivotButton="0" quotePrefix="0" xfId="0">
      <alignment horizontal="center" vertical="center"/>
    </xf>
    <xf numFmtId="0" fontId="0" fillId="0" borderId="155" pivotButton="0" quotePrefix="0" xfId="0"/>
    <xf numFmtId="0" fontId="0" fillId="0" borderId="153" pivotButton="0" quotePrefix="0" xfId="0"/>
    <xf numFmtId="0" fontId="0" fillId="0" borderId="31" pivotButton="0" quotePrefix="0" xfId="0"/>
    <xf numFmtId="0" fontId="0" fillId="0" borderId="43" pivotButton="0" quotePrefix="0" xfId="0"/>
    <xf numFmtId="0" fontId="108" fillId="0" borderId="44" applyAlignment="1" pivotButton="0" quotePrefix="0" xfId="0">
      <alignment horizontal="center" vertical="center" wrapText="1"/>
    </xf>
    <xf numFmtId="170" fontId="116" fillId="29" borderId="45" applyAlignment="1" pivotButton="0" quotePrefix="0" xfId="1267">
      <alignment horizontal="center" vertical="center" shrinkToFit="1"/>
    </xf>
    <xf numFmtId="171" fontId="116" fillId="29" borderId="31" applyAlignment="1" pivotButton="0" quotePrefix="0" xfId="0">
      <alignment horizontal="center" vertical="center" wrapText="1"/>
    </xf>
    <xf numFmtId="171" fontId="116" fillId="0" borderId="43" applyAlignment="1" pivotButton="0" quotePrefix="0" xfId="0">
      <alignment vertical="center" wrapText="1"/>
    </xf>
    <xf numFmtId="0" fontId="0" fillId="0" borderId="55" pivotButton="0" quotePrefix="0" xfId="0"/>
    <xf numFmtId="0" fontId="0" fillId="0" borderId="52" pivotButton="0" quotePrefix="0" xfId="0"/>
    <xf numFmtId="0" fontId="108" fillId="0" borderId="44" applyAlignment="1" pivotButton="0" quotePrefix="0" xfId="0">
      <alignment horizontal="center" vertical="center"/>
    </xf>
    <xf numFmtId="0" fontId="129" fillId="31" borderId="32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4" pivotButton="0" quotePrefix="0" xfId="0"/>
    <xf numFmtId="167" fontId="130" fillId="31" borderId="35" applyAlignment="1" pivotButton="0" quotePrefix="0" xfId="0">
      <alignment horizontal="center" vertical="center" shrinkToFit="1"/>
    </xf>
    <xf numFmtId="167" fontId="130" fillId="31" borderId="35" applyAlignment="1" pivotButton="0" quotePrefix="0" xfId="0">
      <alignment horizontal="right" vertical="center" shrinkToFit="1"/>
    </xf>
    <xf numFmtId="166" fontId="130" fillId="31" borderId="35" applyAlignment="1" pivotButton="0" quotePrefix="0" xfId="0">
      <alignment horizontal="center" vertical="center" shrinkToFit="1"/>
    </xf>
    <xf numFmtId="166" fontId="130" fillId="31" borderId="34" applyAlignment="1" pivotButton="0" quotePrefix="0" xfId="0">
      <alignment vertical="center"/>
    </xf>
    <xf numFmtId="0" fontId="108" fillId="0" borderId="32" applyAlignment="1" pivotButton="0" quotePrefix="0" xfId="0">
      <alignment horizontal="center" vertical="center"/>
    </xf>
    <xf numFmtId="0" fontId="109" fillId="0" borderId="32" applyAlignment="1" pivotButton="0" quotePrefix="0" xfId="0">
      <alignment horizontal="center" vertical="center"/>
    </xf>
    <xf numFmtId="166" fontId="108" fillId="0" borderId="32" applyAlignment="1" pivotButton="0" quotePrefix="0" xfId="0">
      <alignment horizontal="center" vertical="center"/>
    </xf>
    <xf numFmtId="166" fontId="108" fillId="0" borderId="32" applyAlignment="1" pivotButton="0" quotePrefix="0" xfId="0">
      <alignment horizontal="right" vertical="center" shrinkToFit="1"/>
    </xf>
    <xf numFmtId="166" fontId="128" fillId="0" borderId="32" applyAlignment="1" pivotButton="0" quotePrefix="0" xfId="1267">
      <alignment horizontal="center" vertical="center" shrinkToFit="1"/>
    </xf>
    <xf numFmtId="0" fontId="116" fillId="32" borderId="32" applyAlignment="1" pivotButton="0" quotePrefix="0" xfId="0">
      <alignment horizontal="center" vertical="center"/>
    </xf>
    <xf numFmtId="166" fontId="116" fillId="32" borderId="32" applyAlignment="1" pivotButton="0" quotePrefix="0" xfId="0">
      <alignment horizontal="right" vertical="center"/>
    </xf>
    <xf numFmtId="166" fontId="116" fillId="32" borderId="32" applyAlignment="1" pivotButton="0" quotePrefix="0" xfId="0">
      <alignment horizontal="right" vertical="center" shrinkToFit="1"/>
    </xf>
    <xf numFmtId="0" fontId="117" fillId="31" borderId="32" applyAlignment="1" pivotButton="0" quotePrefix="0" xfId="0">
      <alignment horizontal="center" vertical="center"/>
    </xf>
    <xf numFmtId="166" fontId="117" fillId="31" borderId="32" applyAlignment="1" pivotButton="0" quotePrefix="0" xfId="0">
      <alignment horizontal="right" vertical="center" shrinkToFit="1"/>
    </xf>
    <xf numFmtId="166" fontId="128" fillId="0" borderId="32" applyAlignment="1" pivotButton="0" quotePrefix="0" xfId="0">
      <alignment horizontal="center" vertical="center" wrapText="1" shrinkToFit="1"/>
    </xf>
    <xf numFmtId="0" fontId="0" fillId="0" borderId="49" pivotButton="0" quotePrefix="0" xfId="0"/>
    <xf numFmtId="0" fontId="0" fillId="0" borderId="50" pivotButton="0" quotePrefix="0" xfId="0"/>
    <xf numFmtId="0" fontId="0" fillId="0" borderId="56" pivotButton="0" quotePrefix="0" xfId="0"/>
    <xf numFmtId="0" fontId="0" fillId="0" borderId="66" pivotButton="0" quotePrefix="0" xfId="0"/>
    <xf numFmtId="0" fontId="0" fillId="0" borderId="57" pivotButton="0" quotePrefix="0" xfId="0"/>
    <xf numFmtId="0" fontId="0" fillId="0" borderId="152" pivotButton="0" quotePrefix="0" xfId="0"/>
    <xf numFmtId="166" fontId="118" fillId="0" borderId="152" applyAlignment="1" pivotButton="0" quotePrefix="0" xfId="0">
      <alignment horizontal="center" vertical="center" shrinkToFit="1"/>
    </xf>
    <xf numFmtId="164" fontId="118" fillId="0" borderId="152" applyAlignment="1" pivotButton="0" quotePrefix="0" xfId="1267">
      <alignment horizontal="center" vertical="center" shrinkToFit="1"/>
    </xf>
    <xf numFmtId="0" fontId="116" fillId="30" borderId="53" applyAlignment="1" pivotButton="0" quotePrefix="0" xfId="0">
      <alignment horizontal="left" vertical="center"/>
    </xf>
    <xf numFmtId="0" fontId="0" fillId="0" borderId="112" pivotButton="0" quotePrefix="0" xfId="0"/>
    <xf numFmtId="0" fontId="0" fillId="0" borderId="37" pivotButton="0" quotePrefix="0" xfId="0"/>
    <xf numFmtId="166" fontId="125" fillId="28" borderId="165" applyAlignment="1" pivotButton="0" quotePrefix="0" xfId="0">
      <alignment horizontal="center" vertical="center"/>
    </xf>
    <xf numFmtId="0" fontId="0" fillId="0" borderId="168" pivotButton="0" quotePrefix="0" xfId="0"/>
    <xf numFmtId="0" fontId="125" fillId="0" borderId="183" applyAlignment="1" pivotButton="0" quotePrefix="0" xfId="0">
      <alignment horizontal="center" vertical="center"/>
    </xf>
    <xf numFmtId="0" fontId="0" fillId="0" borderId="169" pivotButton="0" quotePrefix="0" xfId="0"/>
    <xf numFmtId="169" fontId="123" fillId="0" borderId="32" applyAlignment="1" pivotButton="0" quotePrefix="0" xfId="0">
      <alignment horizontal="center" vertical="center" wrapText="1"/>
    </xf>
    <xf numFmtId="164" fontId="126" fillId="0" borderId="32" applyAlignment="1" pivotButton="0" quotePrefix="0" xfId="1267">
      <alignment vertical="center"/>
    </xf>
    <xf numFmtId="164" fontId="126" fillId="0" borderId="183" applyAlignment="1" pivotButton="0" quotePrefix="0" xfId="1267">
      <alignment horizontal="center" vertical="center"/>
    </xf>
    <xf numFmtId="0" fontId="123" fillId="28" borderId="194" applyAlignment="1" pivotButton="0" quotePrefix="0" xfId="0">
      <alignment horizontal="right" vertical="center" indent="1"/>
    </xf>
    <xf numFmtId="169" fontId="123" fillId="0" borderId="33" applyAlignment="1" pivotButton="0" quotePrefix="0" xfId="0">
      <alignment horizontal="center" vertical="center" wrapText="1"/>
    </xf>
    <xf numFmtId="164" fontId="126" fillId="0" borderId="34" applyAlignment="1" pivotButton="0" quotePrefix="0" xfId="1267">
      <alignment vertical="center"/>
    </xf>
    <xf numFmtId="165" fontId="126" fillId="0" borderId="34" applyAlignment="1" pivotButton="0" quotePrefix="0" xfId="1235">
      <alignment horizontal="center" vertical="center"/>
    </xf>
    <xf numFmtId="166" fontId="126" fillId="0" borderId="32" applyAlignment="1" pivotButton="0" quotePrefix="0" xfId="0">
      <alignment horizontal="right" vertical="center"/>
    </xf>
    <xf numFmtId="166" fontId="126" fillId="0" borderId="183" applyAlignment="1" pivotButton="0" quotePrefix="0" xfId="0">
      <alignment horizontal="center" vertical="center" wrapText="1"/>
    </xf>
    <xf numFmtId="166" fontId="126" fillId="0" borderId="183" applyAlignment="1" pivotButton="0" quotePrefix="0" xfId="0">
      <alignment horizontal="center" vertical="center"/>
    </xf>
    <xf numFmtId="166" fontId="125" fillId="0" borderId="32" applyAlignment="1" pivotButton="0" quotePrefix="0" xfId="0">
      <alignment horizontal="right" vertical="center"/>
    </xf>
    <xf numFmtId="166" fontId="125" fillId="0" borderId="183" applyAlignment="1" pivotButton="0" quotePrefix="0" xfId="0">
      <alignment horizontal="center" vertical="center"/>
    </xf>
    <xf numFmtId="0" fontId="126" fillId="0" borderId="32" applyAlignment="1" pivotButton="0" quotePrefix="0" xfId="0">
      <alignment horizontal="center" vertical="center"/>
    </xf>
    <xf numFmtId="166" fontId="125" fillId="28" borderId="40" applyAlignment="1" pivotButton="0" quotePrefix="0" xfId="0">
      <alignment vertical="center"/>
    </xf>
    <xf numFmtId="166" fontId="125" fillId="28" borderId="187" applyAlignment="1" pivotButton="0" quotePrefix="0" xfId="0">
      <alignment horizontal="center" vertical="center"/>
    </xf>
    <xf numFmtId="0" fontId="0" fillId="0" borderId="170" pivotButton="0" quotePrefix="0" xfId="0"/>
    <xf numFmtId="0" fontId="137" fillId="28" borderId="186" applyAlignment="1" pivotButton="0" quotePrefix="0" xfId="0">
      <alignment vertical="center"/>
    </xf>
    <xf numFmtId="0" fontId="0" fillId="0" borderId="59" pivotButton="0" quotePrefix="0" xfId="0"/>
    <xf numFmtId="0" fontId="0" fillId="0" borderId="60" pivotButton="0" quotePrefix="0" xfId="0"/>
    <xf numFmtId="0" fontId="122" fillId="32" borderId="188" applyAlignment="1" pivotButton="0" quotePrefix="0" xfId="0">
      <alignment horizontal="center" vertical="center"/>
    </xf>
    <xf numFmtId="0" fontId="122" fillId="32" borderId="32" applyAlignment="1" pivotButton="0" quotePrefix="0" xfId="0">
      <alignment horizontal="center" vertical="center"/>
    </xf>
    <xf numFmtId="0" fontId="122" fillId="0" borderId="189" applyAlignment="1" pivotButton="0" quotePrefix="0" xfId="0">
      <alignment horizontal="center" vertical="center"/>
    </xf>
    <xf numFmtId="0" fontId="123" fillId="0" borderId="191" applyAlignment="1" pivotButton="0" quotePrefix="0" xfId="0">
      <alignment horizontal="left" vertical="center" wrapText="1" indent="1"/>
    </xf>
    <xf numFmtId="0" fontId="0" fillId="0" borderId="129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125" pivotButton="0" quotePrefix="0" xfId="0"/>
    <xf numFmtId="0" fontId="0" fillId="0" borderId="120" pivotButton="0" quotePrefix="0" xfId="0"/>
    <xf numFmtId="0" fontId="0" fillId="0" borderId="118" pivotButton="0" quotePrefix="0" xfId="0"/>
    <xf numFmtId="0" fontId="0" fillId="0" borderId="119" pivotButton="0" quotePrefix="0" xfId="0"/>
    <xf numFmtId="0" fontId="122" fillId="0" borderId="190" applyAlignment="1" pivotButton="0" quotePrefix="0" xfId="0">
      <alignment horizontal="center" vertical="center"/>
    </xf>
    <xf numFmtId="0" fontId="0" fillId="0" borderId="115" pivotButton="0" quotePrefix="0" xfId="0"/>
    <xf numFmtId="0" fontId="123" fillId="0" borderId="113" applyAlignment="1" pivotButton="0" quotePrefix="0" xfId="0">
      <alignment horizontal="left" vertical="center" indent="1"/>
    </xf>
    <xf numFmtId="0" fontId="0" fillId="0" borderId="121" pivotButton="0" quotePrefix="0" xfId="0"/>
    <xf numFmtId="0" fontId="0" fillId="0" borderId="123" pivotButton="0" quotePrefix="0" xfId="0"/>
    <xf numFmtId="0" fontId="123" fillId="0" borderId="192" applyAlignment="1" pivotButton="0" quotePrefix="0" xfId="0">
      <alignment horizontal="left" vertical="center" indent="1"/>
    </xf>
    <xf numFmtId="0" fontId="0" fillId="0" borderId="122" pivotButton="0" quotePrefix="0" xfId="0"/>
    <xf numFmtId="0" fontId="123" fillId="0" borderId="114" applyAlignment="1" pivotButton="0" quotePrefix="0" xfId="0">
      <alignment horizontal="left" vertical="center" indent="1"/>
    </xf>
    <xf numFmtId="0" fontId="122" fillId="0" borderId="185" applyAlignment="1" pivotButton="0" quotePrefix="0" xfId="0">
      <alignment horizontal="center" vertical="center"/>
    </xf>
    <xf numFmtId="0" fontId="0" fillId="0" borderId="132" pivotButton="0" quotePrefix="0" xfId="0"/>
    <xf numFmtId="0" fontId="123" fillId="0" borderId="135" applyAlignment="1" pivotButton="0" quotePrefix="0" xfId="0">
      <alignment horizontal="left" vertical="center" indent="1"/>
    </xf>
    <xf numFmtId="0" fontId="0" fillId="0" borderId="134" pivotButton="0" quotePrefix="0" xfId="0"/>
    <xf numFmtId="166" fontId="125" fillId="37" borderId="165" applyAlignment="1" pivotButton="0" quotePrefix="0" xfId="0">
      <alignment horizontal="center" vertical="center"/>
    </xf>
    <xf numFmtId="0" fontId="126" fillId="29" borderId="183" applyAlignment="1" pivotButton="0" quotePrefix="0" xfId="0">
      <alignment horizontal="center" vertical="center"/>
    </xf>
    <xf numFmtId="169" fontId="123" fillId="0" borderId="32" applyAlignment="1" pivotButton="0" quotePrefix="0" xfId="0">
      <alignment horizontal="center" vertical="center"/>
    </xf>
    <xf numFmtId="0" fontId="123" fillId="37" borderId="194" applyAlignment="1" pivotButton="0" quotePrefix="0" xfId="0">
      <alignment horizontal="right" vertical="center" indent="1"/>
    </xf>
    <xf numFmtId="169" fontId="126" fillId="0" borderId="33" applyAlignment="1" pivotButton="0" quotePrefix="0" xfId="0">
      <alignment horizontal="center" vertical="center"/>
    </xf>
    <xf numFmtId="164" fontId="126" fillId="0" borderId="34" applyAlignment="1" pivotButton="0" quotePrefix="0" xfId="1270">
      <alignment vertical="center"/>
    </xf>
    <xf numFmtId="164" fontId="126" fillId="0" borderId="32" applyAlignment="1" pivotButton="0" quotePrefix="0" xfId="1270">
      <alignment vertical="center"/>
    </xf>
    <xf numFmtId="166" fontId="122" fillId="29" borderId="32" applyAlignment="1" pivotButton="0" quotePrefix="0" xfId="0">
      <alignment vertical="center"/>
    </xf>
    <xf numFmtId="166" fontId="125" fillId="37" borderId="40" applyAlignment="1" pivotButton="0" quotePrefix="0" xfId="0">
      <alignment vertical="center"/>
    </xf>
    <xf numFmtId="166" fontId="125" fillId="37" borderId="187" applyAlignment="1" pivotButton="0" quotePrefix="0" xfId="0">
      <alignment horizontal="center" vertical="center"/>
    </xf>
    <xf numFmtId="0" fontId="137" fillId="37" borderId="186" applyAlignment="1" pivotButton="0" quotePrefix="0" xfId="0">
      <alignment vertical="center"/>
    </xf>
    <xf numFmtId="166" fontId="125" fillId="34" borderId="165" applyAlignment="1" pivotButton="0" quotePrefix="0" xfId="0">
      <alignment horizontal="center" vertical="center"/>
    </xf>
    <xf numFmtId="169" fontId="123" fillId="0" borderId="32" applyAlignment="1" pivotButton="0" quotePrefix="0" xfId="1267">
      <alignment horizontal="center" vertical="center"/>
    </xf>
    <xf numFmtId="0" fontId="123" fillId="34" borderId="194" applyAlignment="1" pivotButton="0" quotePrefix="0" xfId="0">
      <alignment horizontal="right" vertical="center" indent="1"/>
    </xf>
    <xf numFmtId="166" fontId="125" fillId="34" borderId="40" applyAlignment="1" pivotButton="0" quotePrefix="0" xfId="0">
      <alignment vertical="center"/>
    </xf>
    <xf numFmtId="166" fontId="125" fillId="34" borderId="187" applyAlignment="1" pivotButton="0" quotePrefix="0" xfId="0">
      <alignment horizontal="center" vertical="center"/>
    </xf>
    <xf numFmtId="0" fontId="137" fillId="34" borderId="186" applyAlignment="1" pivotButton="0" quotePrefix="0" xfId="0">
      <alignment vertical="center"/>
    </xf>
    <xf numFmtId="0" fontId="148" fillId="32" borderId="188" applyAlignment="1" pivotButton="0" quotePrefix="0" xfId="0">
      <alignment horizontal="center" vertical="center"/>
    </xf>
    <xf numFmtId="0" fontId="138" fillId="0" borderId="196" applyAlignment="1" pivotButton="0" quotePrefix="0" xfId="0">
      <alignment horizontal="center" vertical="center"/>
    </xf>
    <xf numFmtId="168" fontId="138" fillId="0" borderId="114" applyAlignment="1" pivotButton="0" quotePrefix="0" xfId="0">
      <alignment horizontal="center" vertical="center" wrapText="1"/>
    </xf>
    <xf numFmtId="0" fontId="138" fillId="0" borderId="190" applyAlignment="1" pivotButton="0" quotePrefix="0" xfId="0">
      <alignment horizontal="center" vertical="center"/>
    </xf>
    <xf numFmtId="168" fontId="138" fillId="0" borderId="113" applyAlignment="1" pivotButton="0" quotePrefix="0" xfId="0">
      <alignment horizontal="center" vertical="center" wrapText="1"/>
    </xf>
    <xf numFmtId="0" fontId="138" fillId="0" borderId="185" applyAlignment="1" pivotButton="0" quotePrefix="0" xfId="0">
      <alignment horizontal="center" vertical="center"/>
    </xf>
    <xf numFmtId="168" fontId="138" fillId="0" borderId="135" applyAlignment="1" pivotButton="0" quotePrefix="0" xfId="0">
      <alignment horizontal="center" vertical="center" wrapText="1"/>
    </xf>
    <xf numFmtId="0" fontId="124" fillId="0" borderId="186" applyAlignment="1" pivotButton="0" quotePrefix="0" xfId="0">
      <alignment horizontal="center" vertical="center"/>
    </xf>
    <xf numFmtId="0" fontId="141" fillId="34" borderId="142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91" pivotButton="0" quotePrefix="0" xfId="0"/>
    <xf numFmtId="0" fontId="0" fillId="0" borderId="92" pivotButton="0" quotePrefix="0" xfId="0"/>
    <xf numFmtId="0" fontId="0" fillId="0" borderId="7" pivotButton="0" quotePrefix="0" xfId="0"/>
    <xf numFmtId="0" fontId="0" fillId="0" borderId="84" pivotButton="0" quotePrefix="0" xfId="0"/>
    <xf numFmtId="169" fontId="122" fillId="0" borderId="0" applyAlignment="1" pivotButton="0" quotePrefix="0" xfId="1267">
      <alignment horizontal="center" vertical="center"/>
    </xf>
    <xf numFmtId="164" fontId="125" fillId="0" borderId="0" applyAlignment="1" pivotButton="0" quotePrefix="0" xfId="1267">
      <alignment vertical="center"/>
    </xf>
    <xf numFmtId="164" fontId="141" fillId="0" borderId="142" applyAlignment="1" pivotButton="0" quotePrefix="0" xfId="1267">
      <alignment horizontal="center" vertical="center" wrapText="1"/>
    </xf>
    <xf numFmtId="164" fontId="141" fillId="0" borderId="0" applyAlignment="1" pivotButton="0" quotePrefix="0" xfId="1267">
      <alignment vertical="center"/>
    </xf>
    <xf numFmtId="0" fontId="0" fillId="0" borderId="93" pivotButton="0" quotePrefix="0" xfId="0"/>
    <xf numFmtId="164" fontId="125" fillId="0" borderId="30" applyAlignment="1" pivotButton="0" quotePrefix="0" xfId="1267">
      <alignment vertical="center"/>
    </xf>
    <xf numFmtId="169" fontId="125" fillId="0" borderId="0" applyAlignment="1" pivotButton="0" quotePrefix="0" xfId="0">
      <alignment vertical="center"/>
    </xf>
    <xf numFmtId="164" fontId="125" fillId="0" borderId="84" applyAlignment="1" pivotButton="0" quotePrefix="0" xfId="1270">
      <alignment vertical="center"/>
    </xf>
    <xf numFmtId="164" fontId="125" fillId="0" borderId="0" applyAlignment="1" pivotButton="0" quotePrefix="0" xfId="1270">
      <alignment vertical="center"/>
    </xf>
    <xf numFmtId="0" fontId="125" fillId="0" borderId="85" applyAlignment="1" pivotButton="0" quotePrefix="0" xfId="0">
      <alignment horizontal="center" vertical="center"/>
    </xf>
    <xf numFmtId="0" fontId="142" fillId="0" borderId="197" applyAlignment="1" pivotButton="0" quotePrefix="0" xfId="0">
      <alignment horizontal="center" vertical="center"/>
    </xf>
    <xf numFmtId="165" fontId="125" fillId="0" borderId="29" applyAlignment="1" pivotButton="0" quotePrefix="0" xfId="1235">
      <alignment horizontal="center" vertical="center"/>
    </xf>
    <xf numFmtId="166" fontId="125" fillId="0" borderId="89" applyAlignment="1" pivotButton="0" quotePrefix="0" xfId="0">
      <alignment horizontal="right" vertical="center"/>
    </xf>
    <xf numFmtId="166" fontId="125" fillId="0" borderId="0" applyAlignment="1" pivotButton="0" quotePrefix="0" xfId="0">
      <alignment vertical="center"/>
    </xf>
    <xf numFmtId="166" fontId="125" fillId="0" borderId="29" applyAlignment="1" pivotButton="0" quotePrefix="0" xfId="0">
      <alignment horizontal="right" vertical="center"/>
    </xf>
    <xf numFmtId="166" fontId="125" fillId="0" borderId="29" applyAlignment="1" pivotButton="0" quotePrefix="0" xfId="0">
      <alignment vertical="center"/>
    </xf>
    <xf numFmtId="166" fontId="125" fillId="0" borderId="91" applyAlignment="1" pivotButton="0" quotePrefix="0" xfId="0">
      <alignment vertical="center"/>
    </xf>
    <xf numFmtId="0" fontId="122" fillId="0" borderId="136" applyAlignment="1" pivotButton="0" quotePrefix="0" xfId="0">
      <alignment horizontal="center" vertical="center"/>
    </xf>
    <xf numFmtId="0" fontId="0" fillId="0" borderId="124" pivotButton="0" quotePrefix="0" xfId="0"/>
    <xf numFmtId="0" fontId="0" fillId="0" borderId="88" pivotButton="0" quotePrefix="0" xfId="0"/>
    <xf numFmtId="166" fontId="122" fillId="0" borderId="0" applyAlignment="1" pivotButton="0" quotePrefix="0" xfId="0">
      <alignment vertical="center"/>
    </xf>
    <xf numFmtId="0" fontId="122" fillId="0" borderId="197" applyAlignment="1" pivotButton="0" quotePrefix="0" xfId="0">
      <alignment horizontal="center" vertical="center" wrapText="1"/>
    </xf>
    <xf numFmtId="0" fontId="122" fillId="0" borderId="99" applyAlignment="1" pivotButton="0" quotePrefix="0" xfId="0">
      <alignment horizontal="center" vertical="center" wrapText="1"/>
    </xf>
    <xf numFmtId="0" fontId="125" fillId="0" borderId="142" applyAlignment="1" pivotButton="0" quotePrefix="0" xfId="0">
      <alignment horizontal="center" vertical="center"/>
    </xf>
    <xf numFmtId="0" fontId="125" fillId="0" borderId="85" applyAlignment="1" pivotButton="0" quotePrefix="0" xfId="0">
      <alignment horizontal="center" vertical="center" wrapText="1"/>
    </xf>
    <xf numFmtId="168" fontId="122" fillId="0" borderId="0" applyAlignment="1" pivotButton="0" quotePrefix="0" xfId="0">
      <alignment horizontal="center" vertical="center" wrapText="1"/>
    </xf>
    <xf numFmtId="0" fontId="0" fillId="0" borderId="138" pivotButton="0" quotePrefix="0" xfId="0"/>
    <xf numFmtId="169" fontId="151" fillId="0" borderId="2" applyAlignment="1" pivotButton="0" quotePrefix="0" xfId="0">
      <alignment horizontal="center" vertical="center"/>
    </xf>
    <xf numFmtId="0" fontId="151" fillId="0" borderId="2" applyAlignment="1" pivotButton="0" quotePrefix="0" xfId="0">
      <alignment horizontal="center" vertical="center"/>
    </xf>
    <xf numFmtId="0" fontId="0" fillId="0" borderId="17" pivotButton="0" quotePrefix="0" xfId="0"/>
    <xf numFmtId="169" fontId="152" fillId="0" borderId="2" applyAlignment="1" pivotButton="0" quotePrefix="0" xfId="0">
      <alignment horizontal="center" vertical="center"/>
    </xf>
    <xf numFmtId="169" fontId="151" fillId="0" borderId="143" applyAlignment="1" pivotButton="0" quotePrefix="0" xfId="0">
      <alignment horizontal="center" vertical="center"/>
    </xf>
    <xf numFmtId="169" fontId="152" fillId="27" borderId="137" applyAlignment="1" pivotButton="0" quotePrefix="0" xfId="0">
      <alignment horizontal="center" vertical="center"/>
    </xf>
    <xf numFmtId="0" fontId="151" fillId="0" borderId="138" applyAlignment="1" pivotButton="0" quotePrefix="0" xfId="0">
      <alignment horizontal="center" vertical="center"/>
    </xf>
    <xf numFmtId="169" fontId="152" fillId="0" borderId="143" applyAlignment="1" pivotButton="0" quotePrefix="0" xfId="0">
      <alignment horizontal="center" vertical="center"/>
    </xf>
    <xf numFmtId="169" fontId="152" fillId="27" borderId="145" applyAlignment="1" pivotButton="0" quotePrefix="0" xfId="0">
      <alignment horizontal="center" vertical="center"/>
    </xf>
    <xf numFmtId="0" fontId="0" fillId="0" borderId="144" pivotButton="0" quotePrefix="0" xfId="0"/>
    <xf numFmtId="170" fontId="18" fillId="0" borderId="0" applyAlignment="1" pivotButton="0" quotePrefix="0" xfId="1267">
      <alignment horizontal="center" vertical="center"/>
    </xf>
    <xf numFmtId="168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1267">
      <alignment horizontal="center" vertical="center"/>
    </xf>
    <xf numFmtId="164" fontId="157" fillId="0" borderId="0" applyAlignment="1" pivotButton="0" quotePrefix="0" xfId="1267">
      <alignment horizontal="center" vertical="center"/>
    </xf>
    <xf numFmtId="164" fontId="157" fillId="0" borderId="0" applyAlignment="1" pivotButton="0" quotePrefix="0" xfId="1267">
      <alignment horizontal="center" vertical="center" wrapText="1"/>
    </xf>
    <xf numFmtId="164" fontId="165" fillId="0" borderId="0" applyAlignment="1" pivotButton="0" quotePrefix="0" xfId="1267">
      <alignment horizontal="center"/>
    </xf>
    <xf numFmtId="0" fontId="0" fillId="0" borderId="77" pivotButton="0" quotePrefix="0" xfId="0"/>
    <xf numFmtId="0" fontId="0" fillId="0" borderId="201" pivotButton="0" quotePrefix="0" xfId="0"/>
    <xf numFmtId="0" fontId="0" fillId="0" borderId="12" pivotButton="0" quotePrefix="0" xfId="0"/>
    <xf numFmtId="0" fontId="0" fillId="0" borderId="202" pivotButton="0" quotePrefix="0" xfId="0"/>
    <xf numFmtId="0" fontId="0" fillId="0" borderId="99" pivotButton="0" quotePrefix="0" xfId="0"/>
    <xf numFmtId="164" fontId="169" fillId="0" borderId="70" applyAlignment="1" pivotButton="0" quotePrefix="0" xfId="1267">
      <alignment horizontal="center" vertical="center"/>
    </xf>
    <xf numFmtId="164" fontId="169" fillId="0" borderId="106" applyAlignment="1" pivotButton="0" quotePrefix="0" xfId="1267">
      <alignment horizontal="center" vertical="center"/>
    </xf>
    <xf numFmtId="164" fontId="169" fillId="30" borderId="108" applyAlignment="1" pivotButton="0" quotePrefix="0" xfId="1267">
      <alignment horizontal="center" vertical="center"/>
    </xf>
    <xf numFmtId="164" fontId="169" fillId="0" borderId="109" applyAlignment="1" pivotButton="0" quotePrefix="0" xfId="1267">
      <alignment horizontal="center" vertical="center"/>
    </xf>
    <xf numFmtId="164" fontId="169" fillId="29" borderId="107" applyAlignment="1" pivotButton="0" quotePrefix="0" xfId="1267">
      <alignment horizontal="center" vertical="center"/>
    </xf>
    <xf numFmtId="164" fontId="169" fillId="0" borderId="110" applyAlignment="1" pivotButton="0" quotePrefix="0" xfId="1267">
      <alignment horizontal="center" vertical="center"/>
    </xf>
    <xf numFmtId="164" fontId="169" fillId="0" borderId="107" applyAlignment="1" pivotButton="0" quotePrefix="0" xfId="1267">
      <alignment horizontal="center" vertical="center"/>
    </xf>
    <xf numFmtId="164" fontId="169" fillId="0" borderId="111" applyAlignment="1" pivotButton="0" quotePrefix="0" xfId="1267">
      <alignment horizontal="center" vertical="center"/>
    </xf>
    <xf numFmtId="164" fontId="169" fillId="0" borderId="82" applyAlignment="1" pivotButton="0" quotePrefix="0" xfId="1267">
      <alignment horizontal="center" vertical="center"/>
    </xf>
    <xf numFmtId="164" fontId="169" fillId="0" borderId="74" applyAlignment="1" pivotButton="0" quotePrefix="0" xfId="1267">
      <alignment horizontal="center" vertical="center"/>
    </xf>
    <xf numFmtId="164" fontId="169" fillId="30" borderId="75" applyAlignment="1" pivotButton="0" quotePrefix="0" xfId="1267">
      <alignment horizontal="center" vertical="center"/>
    </xf>
    <xf numFmtId="164" fontId="169" fillId="0" borderId="80" applyAlignment="1" pivotButton="0" quotePrefix="0" xfId="1267">
      <alignment horizontal="center" vertical="center"/>
    </xf>
    <xf numFmtId="164" fontId="169" fillId="29" borderId="79" applyAlignment="1" pivotButton="0" quotePrefix="0" xfId="1267">
      <alignment horizontal="center" vertical="center"/>
    </xf>
    <xf numFmtId="164" fontId="169" fillId="0" borderId="81" applyAlignment="1" pivotButton="0" quotePrefix="0" xfId="1267">
      <alignment horizontal="center" vertical="center"/>
    </xf>
    <xf numFmtId="164" fontId="169" fillId="0" borderId="79" applyAlignment="1" pivotButton="0" quotePrefix="0" xfId="1267">
      <alignment horizontal="center" vertical="center"/>
    </xf>
    <xf numFmtId="164" fontId="169" fillId="0" borderId="86" applyAlignment="1" pivotButton="0" quotePrefix="0" xfId="1267">
      <alignment horizontal="center" vertical="center"/>
    </xf>
    <xf numFmtId="164" fontId="169" fillId="0" borderId="5" applyAlignment="1" pivotButton="0" quotePrefix="0" xfId="1267">
      <alignment horizontal="center" vertical="center"/>
    </xf>
    <xf numFmtId="164" fontId="169" fillId="0" borderId="139" applyAlignment="1" pivotButton="0" quotePrefix="0" xfId="1267">
      <alignment horizontal="center" vertical="center"/>
    </xf>
    <xf numFmtId="164" fontId="169" fillId="30" borderId="141" applyAlignment="1" pivotButton="0" quotePrefix="0" xfId="1267">
      <alignment horizontal="center" vertical="center"/>
    </xf>
    <xf numFmtId="164" fontId="169" fillId="0" borderId="150" applyAlignment="1" pivotButton="0" quotePrefix="0" xfId="1267">
      <alignment horizontal="center" vertical="center"/>
    </xf>
    <xf numFmtId="164" fontId="169" fillId="29" borderId="149" applyAlignment="1" pivotButton="0" quotePrefix="0" xfId="1267">
      <alignment horizontal="center" vertical="center"/>
    </xf>
    <xf numFmtId="164" fontId="169" fillId="0" borderId="140" applyAlignment="1" pivotButton="0" quotePrefix="0" xfId="1267">
      <alignment horizontal="center" vertical="center"/>
    </xf>
    <xf numFmtId="164" fontId="169" fillId="0" borderId="149" applyAlignment="1" pivotButton="0" quotePrefix="0" xfId="1267">
      <alignment horizontal="center" vertical="center"/>
    </xf>
    <xf numFmtId="164" fontId="169" fillId="0" borderId="142" applyAlignment="1" pivotButton="0" quotePrefix="0" xfId="1267">
      <alignment horizontal="center" vertical="center"/>
    </xf>
    <xf numFmtId="164" fontId="169" fillId="0" borderId="20" applyAlignment="1" pivotButton="0" quotePrefix="0" xfId="1267">
      <alignment horizontal="center" vertical="center"/>
    </xf>
    <xf numFmtId="164" fontId="169" fillId="0" borderId="100" applyAlignment="1" pivotButton="0" quotePrefix="0" xfId="1267">
      <alignment horizontal="center" vertical="center"/>
    </xf>
    <xf numFmtId="164" fontId="169" fillId="30" borderId="102" applyAlignment="1" pivotButton="0" quotePrefix="0" xfId="1267">
      <alignment horizontal="center" vertical="center"/>
    </xf>
    <xf numFmtId="164" fontId="169" fillId="0" borderId="103" applyAlignment="1" pivotButton="0" quotePrefix="0" xfId="1267">
      <alignment horizontal="center" vertical="center"/>
    </xf>
    <xf numFmtId="164" fontId="169" fillId="29" borderId="101" applyAlignment="1" pivotButton="0" quotePrefix="0" xfId="1267">
      <alignment horizontal="center" vertical="center"/>
    </xf>
    <xf numFmtId="164" fontId="169" fillId="0" borderId="104" applyAlignment="1" pivotButton="0" quotePrefix="0" xfId="1267">
      <alignment horizontal="center" vertical="center"/>
    </xf>
    <xf numFmtId="164" fontId="169" fillId="0" borderId="101" applyAlignment="1" pivotButton="0" quotePrefix="0" xfId="1267">
      <alignment horizontal="center" vertical="center"/>
    </xf>
    <xf numFmtId="164" fontId="169" fillId="0" borderId="105" applyAlignment="1" pivotButton="0" quotePrefix="0" xfId="1267">
      <alignment horizontal="center" vertical="center"/>
    </xf>
    <xf numFmtId="164" fontId="167" fillId="0" borderId="0" pivotButton="0" quotePrefix="0" xfId="0"/>
    <xf numFmtId="164" fontId="168" fillId="0" borderId="0" pivotButton="0" quotePrefix="0" xfId="0"/>
  </cellXfs>
  <cellStyles count="2468">
    <cellStyle name="표준" xfId="0" builtinId="0"/>
    <cellStyle name="          _x000d__x000a_386grabber=vga.3gr_x000d__x000a_" xfId="1"/>
    <cellStyle name="_x000d_$" xfId="2"/>
    <cellStyle name="_x000d_;&amp;?;" xfId="3"/>
    <cellStyle name="&quot;" xfId="4"/>
    <cellStyle name="#,##0" xfId="5"/>
    <cellStyle name="$" xfId="6"/>
    <cellStyle name="$_db진흥" xfId="7"/>
    <cellStyle name="$_SE40" xfId="8"/>
    <cellStyle name="$_견적2" xfId="9"/>
    <cellStyle name="$_기아" xfId="10"/>
    <cellStyle name="??&amp;O?&amp;H?_x0008__x000f__x0007_?_x0007__x0001__x0001_" xfId="11"/>
    <cellStyle name="??&amp;O?&amp;H?_x0008_??_x0007__x0001__x0001_" xfId="12"/>
    <cellStyle name="?W?_laroux" xfId="13"/>
    <cellStyle name="?화 [0]_투자재원" xfId="14"/>
    <cellStyle name="_07(종)두산힐스빌" xfId="15"/>
    <cellStyle name="_07(종)미켈란쉘르빌" xfId="16"/>
    <cellStyle name="_08(작)가락 삼성 래미안 아파트" xfId="17"/>
    <cellStyle name="_08(작)아이언프라자" xfId="18"/>
    <cellStyle name="_08(종) 영통 삼성래미안 아파트" xfId="19"/>
    <cellStyle name="_08(종)뚝섬중앙하이츠빌" xfId="20"/>
    <cellStyle name="_08(종)한승미메이드아파트" xfId="21"/>
    <cellStyle name="_08(종)허브원" xfId="22"/>
    <cellStyle name="_09(작)SH빌딩" xfId="23"/>
    <cellStyle name="_09(작)다보빌딩" xfId="24"/>
    <cellStyle name="_09(작)산본성당" xfId="25"/>
    <cellStyle name="_09(종)동작쌍떼빌아파트" xfId="26"/>
    <cellStyle name="_09(종)르네상스타워" xfId="27"/>
    <cellStyle name="_09(종)수지두산위브아파트" xfId="28"/>
    <cellStyle name="_09(종)인계선경1차" xfId="29"/>
    <cellStyle name="_09(종)인덕원성당" xfId="30"/>
    <cellStyle name="_09(종)종로대성스카이렉스" xfId="31"/>
    <cellStyle name="_09(종)태영데시앙1차" xfId="32"/>
    <cellStyle name="_09(종)호계아크로리버" xfId="33"/>
    <cellStyle name="_2000하반기 견적서 ( 미씨860오피스텔 탑시티, 청우, 유일, 동부,경진 )" xfId="34"/>
    <cellStyle name="_2000하반기 견적서 ( 미씨860오피스텔 탑시티, 청우, 유일, 동부,경진 )_07(종)두산힐스빌" xfId="35"/>
    <cellStyle name="_2000하반기 견적서 ( 미씨860오피스텔 탑시티, 청우, 유일, 동부,경진 )_07(종)미켈란쉘르빌" xfId="36"/>
    <cellStyle name="_2000하반기 견적서 ( 미씨860오피스텔 탑시티, 청우, 유일, 동부,경진 )_08(종) 영통 삼성래미안 아파트" xfId="37"/>
    <cellStyle name="_2000하반기 견적서 ( 미씨860오피스텔 탑시티, 청우, 유일, 동부,경진 )_08(종)뚝섬중앙하이츠빌" xfId="38"/>
    <cellStyle name="_2000하반기 견적서 ( 미씨860오피스텔 탑시티, 청우, 유일, 동부,경진 )_08(종)한승미메이드아파트" xfId="39"/>
    <cellStyle name="_2000하반기 견적서 ( 미씨860오피스텔 탑시티, 청우, 유일, 동부,경진 )_08(종)허브원" xfId="40"/>
    <cellStyle name="_2000하반기 견적서 ( 미씨860오피스텔 탑시티, 청우, 유일, 동부,경진 )_09(종)르네상스타워" xfId="41"/>
    <cellStyle name="_2000하반기 견적서 ( 미씨860오피스텔 탑시티, 청우, 유일, 동부,경진 )_09(종)인덕원성당" xfId="42"/>
    <cellStyle name="_2000하반기 견적서 ( 미씨860오피스텔 탑시티, 청우, 유일, 동부,경진 )_3호원본" xfId="43"/>
    <cellStyle name="_2000하반기 견적서 ( 미씨860오피스텔 탑시티, 청우, 유일, 동부,경진 )_Book1" xfId="44"/>
    <cellStyle name="_2000하반기 견적서 ( 미씨860오피스텔 탑시티, 청우, 유일, 동부,경진 )_Book1_08(종)허브원" xfId="45"/>
    <cellStyle name="_2002 상반기 견적서 ( 롯데 분당점 공정표 )" xfId="46"/>
    <cellStyle name="_2002 상반기 견적서 ( 롯데 분당점 공정표 )_07(종)두산힐스빌" xfId="47"/>
    <cellStyle name="_2002 상반기 견적서 ( 롯데 분당점 공정표 )_07(종)미켈란쉘르빌" xfId="48"/>
    <cellStyle name="_2002 상반기 견적서 ( 롯데 분당점 공정표 )_08(종) 영통 삼성래미안 아파트" xfId="49"/>
    <cellStyle name="_2002 상반기 견적서 ( 롯데 분당점 공정표 )_08(종)뚝섬중앙하이츠빌" xfId="50"/>
    <cellStyle name="_2002 상반기 견적서 ( 롯데 분당점 공정표 )_08(종)한승미메이드아파트" xfId="51"/>
    <cellStyle name="_2002 상반기 견적서 ( 롯데 분당점 공정표 )_08(종)허브원" xfId="52"/>
    <cellStyle name="_2002 상반기 견적서 ( 롯데 분당점 공정표 )_09(종)르네상스타워" xfId="53"/>
    <cellStyle name="_2002 상반기 견적서 ( 롯데 분당점 공정표 )_09(종)인덕원성당" xfId="54"/>
    <cellStyle name="_2002 상반기 견적서 ( 롯데 분당점 공정표 )_3호원본" xfId="55"/>
    <cellStyle name="_2002 상반기 견적서 ( 롯데 분당점 공정표 )_Book1" xfId="56"/>
    <cellStyle name="_2002 상반기 견적서 ( 롯데 분당점 공정표 )_Book1_08(종)허브원" xfId="57"/>
    <cellStyle name="_2차5회(사정)" xfId="58"/>
    <cellStyle name="_2호원본" xfId="59"/>
    <cellStyle name="_3호원본" xfId="60"/>
    <cellStyle name="_9월" xfId="61"/>
    <cellStyle name="_Book1" xfId="62"/>
    <cellStyle name="_Book1_08(종)허브원" xfId="63"/>
    <cellStyle name="_SANDFILTER" xfId="64"/>
    <cellStyle name="_강내투찰내역서-x" xfId="65"/>
    <cellStyle name="_강내투찰내역서-x_왜관-태평건설" xfId="66"/>
    <cellStyle name="_고산투찰" xfId="67"/>
    <cellStyle name="_광릉투찰" xfId="68"/>
    <cellStyle name="_광릉투찰_왜관-태평건설" xfId="69"/>
    <cellStyle name="_광주평동투찰" xfId="70"/>
    <cellStyle name="_광주평동투찰3" xfId="71"/>
    <cellStyle name="_광주평동품의1" xfId="72"/>
    <cellStyle name="_구문소철암투찰" xfId="73"/>
    <cellStyle name="_구문소철암투찰_광릉투찰" xfId="74"/>
    <cellStyle name="_구문소철암투찰_광릉투찰_왜관-태평건설" xfId="75"/>
    <cellStyle name="_구문소철암투찰_왜관-태평건설" xfId="76"/>
    <cellStyle name="_국도23호선영암연소지구내역서" xfId="77"/>
    <cellStyle name="_국도38호선통리지구내역서" xfId="78"/>
    <cellStyle name="_국도42호선여량지구오르막차로" xfId="79"/>
    <cellStyle name="_금천청소년수련관(토목林)" xfId="80"/>
    <cellStyle name="_농소투찰(32152)" xfId="81"/>
    <cellStyle name="_농소투찰(32152)_왜관-태평건설" xfId="82"/>
    <cellStyle name="_대곡이설(투찰)" xfId="83"/>
    <cellStyle name="_대곡이설(투찰)_1" xfId="84"/>
    <cellStyle name="_대곡이설(투찰)_1_경찰서-터미널간도로(투찰)②" xfId="85"/>
    <cellStyle name="_대곡이설(투찰)_1_경찰서-터미널간도로(투찰)②_마현생창(동양고속)" xfId="86"/>
    <cellStyle name="_대곡이설(투찰)_1_경찰서-터미널간도로(투찰)②_마현생창(동양고속)_왜관-태평건설" xfId="87"/>
    <cellStyle name="_대곡이설(투찰)_1_경찰서-터미널간도로(투찰)②_왜관-태평건설" xfId="88"/>
    <cellStyle name="_대곡이설(투찰)_1_마현생창(동양고속)" xfId="89"/>
    <cellStyle name="_대곡이설(투찰)_1_마현생창(동양고속)_왜관-태평건설" xfId="90"/>
    <cellStyle name="_대곡이설(투찰)_1_봉무지방산업단지도로(투찰)②" xfId="91"/>
    <cellStyle name="_대곡이설(투찰)_1_봉무지방산업단지도로(투찰)②_마현생창(동양고속)" xfId="92"/>
    <cellStyle name="_대곡이설(투찰)_1_봉무지방산업단지도로(투찰)②_마현생창(동양고속)_왜관-태평건설" xfId="93"/>
    <cellStyle name="_대곡이설(투찰)_1_봉무지방산업단지도로(투찰)②_왜관-태평건설" xfId="94"/>
    <cellStyle name="_대곡이설(투찰)_1_봉무지방산업단지도로(투찰)②+0.250%" xfId="95"/>
    <cellStyle name="_대곡이설(투찰)_1_봉무지방산업단지도로(투찰)②+0.250%_마현생창(동양고속)" xfId="96"/>
    <cellStyle name="_대곡이설(투찰)_1_봉무지방산업단지도로(투찰)②+0.250%_마현생창(동양고속)_왜관-태평건설" xfId="97"/>
    <cellStyle name="_대곡이설(투찰)_1_봉무지방산업단지도로(투찰)②+0.250%_왜관-태평건설" xfId="98"/>
    <cellStyle name="_대곡이설(투찰)_1_왜관-태평건설" xfId="99"/>
    <cellStyle name="_대곡이설(투찰)_1_합덕-신례원(2공구)투찰" xfId="100"/>
    <cellStyle name="_대곡이설(투찰)_1_합덕-신례원(2공구)투찰_경찰서-터미널간도로(투찰)②" xfId="101"/>
    <cellStyle name="_대곡이설(투찰)_1_합덕-신례원(2공구)투찰_경찰서-터미널간도로(투찰)②_마현생창(동양고속)" xfId="102"/>
    <cellStyle name="_대곡이설(투찰)_1_합덕-신례원(2공구)투찰_경찰서-터미널간도로(투찰)②_마현생창(동양고속)_왜관-태평건설" xfId="103"/>
    <cellStyle name="_대곡이설(투찰)_1_합덕-신례원(2공구)투찰_경찰서-터미널간도로(투찰)②_왜관-태평건설" xfId="104"/>
    <cellStyle name="_대곡이설(투찰)_1_합덕-신례원(2공구)투찰_마현생창(동양고속)" xfId="105"/>
    <cellStyle name="_대곡이설(투찰)_1_합덕-신례원(2공구)투찰_마현생창(동양고속)_왜관-태평건설" xfId="106"/>
    <cellStyle name="_대곡이설(투찰)_1_합덕-신례원(2공구)투찰_봉무지방산업단지도로(투찰)②" xfId="107"/>
    <cellStyle name="_대곡이설(투찰)_1_합덕-신례원(2공구)투찰_봉무지방산업단지도로(투찰)②_마현생창(동양고속)" xfId="108"/>
    <cellStyle name="_대곡이설(투찰)_1_합덕-신례원(2공구)투찰_봉무지방산업단지도로(투찰)②_마현생창(동양고속)_왜관-태평건설" xfId="109"/>
    <cellStyle name="_대곡이설(투찰)_1_합덕-신례원(2공구)투찰_봉무지방산업단지도로(투찰)②_왜관-태평건설" xfId="110"/>
    <cellStyle name="_대곡이설(투찰)_1_합덕-신례원(2공구)투찰_봉무지방산업단지도로(투찰)②+0.250%" xfId="111"/>
    <cellStyle name="_대곡이설(투찰)_1_합덕-신례원(2공구)투찰_봉무지방산업단지도로(투찰)②+0.250%_마현생창(동양고속)" xfId="112"/>
    <cellStyle name="_대곡이설(투찰)_1_합덕-신례원(2공구)투찰_봉무지방산업단지도로(투찰)②+0.250%_마현생창(동양고속)_왜관-태평건설" xfId="113"/>
    <cellStyle name="_대곡이설(투찰)_1_합덕-신례원(2공구)투찰_봉무지방산업단지도로(투찰)②+0.250%_왜관-태평건설" xfId="114"/>
    <cellStyle name="_대곡이설(투찰)_1_합덕-신례원(2공구)투찰_왜관-태평건설" xfId="115"/>
    <cellStyle name="_대곡이설(투찰)_1_합덕-신례원(2공구)투찰_합덕-신례원(2공구)투찰" xfId="116"/>
    <cellStyle name="_대곡이설(투찰)_1_합덕-신례원(2공구)투찰_합덕-신례원(2공구)투찰_경찰서-터미널간도로(투찰)②" xfId="117"/>
    <cellStyle name="_대곡이설(투찰)_1_합덕-신례원(2공구)투찰_합덕-신례원(2공구)투찰_경찰서-터미널간도로(투찰)②_마현생창(동양고속)" xfId="118"/>
    <cellStyle name="_대곡이설(투찰)_1_합덕-신례원(2공구)투찰_합덕-신례원(2공구)투찰_경찰서-터미널간도로(투찰)②_마현생창(동양고속)_왜관-태평건설" xfId="119"/>
    <cellStyle name="_대곡이설(투찰)_1_합덕-신례원(2공구)투찰_합덕-신례원(2공구)투찰_경찰서-터미널간도로(투찰)②_왜관-태평건설" xfId="120"/>
    <cellStyle name="_대곡이설(투찰)_1_합덕-신례원(2공구)투찰_합덕-신례원(2공구)투찰_마현생창(동양고속)" xfId="121"/>
    <cellStyle name="_대곡이설(투찰)_1_합덕-신례원(2공구)투찰_합덕-신례원(2공구)투찰_마현생창(동양고속)_왜관-태평건설" xfId="122"/>
    <cellStyle name="_대곡이설(투찰)_1_합덕-신례원(2공구)투찰_합덕-신례원(2공구)투찰_봉무지방산업단지도로(투찰)②" xfId="123"/>
    <cellStyle name="_대곡이설(투찰)_1_합덕-신례원(2공구)투찰_합덕-신례원(2공구)투찰_봉무지방산업단지도로(투찰)②_마현생창(동양고속)" xfId="124"/>
    <cellStyle name="_대곡이설(투찰)_1_합덕-신례원(2공구)투찰_합덕-신례원(2공구)투찰_봉무지방산업단지도로(투찰)②_마현생창(동양고속)_왜관-태평건설" xfId="125"/>
    <cellStyle name="_대곡이설(투찰)_1_합덕-신례원(2공구)투찰_합덕-신례원(2공구)투찰_봉무지방산업단지도로(투찰)②_왜관-태평건설" xfId="126"/>
    <cellStyle name="_대곡이설(투찰)_1_합덕-신례원(2공구)투찰_합덕-신례원(2공구)투찰_봉무지방산업단지도로(투찰)②+0.250%" xfId="127"/>
    <cellStyle name="_대곡이설(투찰)_1_합덕-신례원(2공구)투찰_합덕-신례원(2공구)투찰_봉무지방산업단지도로(투찰)②+0.250%_마현생창(동양고속)" xfId="128"/>
    <cellStyle name="_대곡이설(투찰)_1_합덕-신례원(2공구)투찰_합덕-신례원(2공구)투찰_봉무지방산업단지도로(투찰)②+0.250%_마현생창(동양고속)_왜관-태평건설" xfId="129"/>
    <cellStyle name="_대곡이설(투찰)_1_합덕-신례원(2공구)투찰_합덕-신례원(2공구)투찰_봉무지방산업단지도로(투찰)②+0.250%_왜관-태평건설" xfId="130"/>
    <cellStyle name="_대곡이설(투찰)_1_합덕-신례원(2공구)투찰_합덕-신례원(2공구)투찰_왜관-태평건설" xfId="131"/>
    <cellStyle name="_대곡이설(투찰)_경찰서-터미널간도로(투찰)②" xfId="132"/>
    <cellStyle name="_대곡이설(투찰)_경찰서-터미널간도로(투찰)②_마현생창(동양고속)" xfId="133"/>
    <cellStyle name="_대곡이설(투찰)_경찰서-터미널간도로(투찰)②_마현생창(동양고속)_왜관-태평건설" xfId="134"/>
    <cellStyle name="_대곡이설(투찰)_경찰서-터미널간도로(투찰)②_왜관-태평건설" xfId="135"/>
    <cellStyle name="_대곡이설(투찰)_도덕-고흥도로(투찰)" xfId="136"/>
    <cellStyle name="_대곡이설(투찰)_도덕-고흥도로(투찰)_경찰서-터미널간도로(투찰)②" xfId="137"/>
    <cellStyle name="_대곡이설(투찰)_도덕-고흥도로(투찰)_경찰서-터미널간도로(투찰)②_마현생창(동양고속)" xfId="138"/>
    <cellStyle name="_대곡이설(투찰)_도덕-고흥도로(투찰)_경찰서-터미널간도로(투찰)②_마현생창(동양고속)_왜관-태평건설" xfId="139"/>
    <cellStyle name="_대곡이설(투찰)_도덕-고흥도로(투찰)_경찰서-터미널간도로(투찰)②_왜관-태평건설" xfId="140"/>
    <cellStyle name="_대곡이설(투찰)_도덕-고흥도로(투찰)_마현생창(동양고속)" xfId="141"/>
    <cellStyle name="_대곡이설(투찰)_도덕-고흥도로(투찰)_마현생창(동양고속)_왜관-태평건설" xfId="142"/>
    <cellStyle name="_대곡이설(투찰)_도덕-고흥도로(투찰)_봉무지방산업단지도로(투찰)②" xfId="143"/>
    <cellStyle name="_대곡이설(투찰)_도덕-고흥도로(투찰)_봉무지방산업단지도로(투찰)②_마현생창(동양고속)" xfId="144"/>
    <cellStyle name="_대곡이설(투찰)_도덕-고흥도로(투찰)_봉무지방산업단지도로(투찰)②_마현생창(동양고속)_왜관-태평건설" xfId="145"/>
    <cellStyle name="_대곡이설(투찰)_도덕-고흥도로(투찰)_봉무지방산업단지도로(투찰)②_왜관-태평건설" xfId="146"/>
    <cellStyle name="_대곡이설(투찰)_도덕-고흥도로(투찰)_봉무지방산업단지도로(투찰)②+0.250%" xfId="147"/>
    <cellStyle name="_대곡이설(투찰)_도덕-고흥도로(투찰)_봉무지방산업단지도로(투찰)②+0.250%_마현생창(동양고속)" xfId="148"/>
    <cellStyle name="_대곡이설(투찰)_도덕-고흥도로(투찰)_봉무지방산업단지도로(투찰)②+0.250%_마현생창(동양고속)_왜관-태평건설" xfId="149"/>
    <cellStyle name="_대곡이설(투찰)_도덕-고흥도로(투찰)_봉무지방산업단지도로(투찰)②+0.250%_왜관-태평건설" xfId="150"/>
    <cellStyle name="_대곡이설(투찰)_도덕-고흥도로(투찰)_왜관-태평건설" xfId="151"/>
    <cellStyle name="_대곡이설(투찰)_도덕-고흥도로(투찰)_합덕-신례원(2공구)투찰" xfId="152"/>
    <cellStyle name="_대곡이설(투찰)_도덕-고흥도로(투찰)_합덕-신례원(2공구)투찰_경찰서-터미널간도로(투찰)②" xfId="153"/>
    <cellStyle name="_대곡이설(투찰)_도덕-고흥도로(투찰)_합덕-신례원(2공구)투찰_경찰서-터미널간도로(투찰)②_마현생창(동양고속)" xfId="154"/>
    <cellStyle name="_대곡이설(투찰)_도덕-고흥도로(투찰)_합덕-신례원(2공구)투찰_경찰서-터미널간도로(투찰)②_마현생창(동양고속)_왜관-태평건설" xfId="155"/>
    <cellStyle name="_대곡이설(투찰)_도덕-고흥도로(투찰)_합덕-신례원(2공구)투찰_경찰서-터미널간도로(투찰)②_왜관-태평건설" xfId="156"/>
    <cellStyle name="_대곡이설(투찰)_도덕-고흥도로(투찰)_합덕-신례원(2공구)투찰_마현생창(동양고속)" xfId="157"/>
    <cellStyle name="_대곡이설(투찰)_도덕-고흥도로(투찰)_합덕-신례원(2공구)투찰_마현생창(동양고속)_왜관-태평건설" xfId="158"/>
    <cellStyle name="_대곡이설(투찰)_도덕-고흥도로(투찰)_합덕-신례원(2공구)투찰_봉무지방산업단지도로(투찰)②" xfId="159"/>
    <cellStyle name="_대곡이설(투찰)_도덕-고흥도로(투찰)_합덕-신례원(2공구)투찰_봉무지방산업단지도로(투찰)②_마현생창(동양고속)" xfId="160"/>
    <cellStyle name="_대곡이설(투찰)_도덕-고흥도로(투찰)_합덕-신례원(2공구)투찰_봉무지방산업단지도로(투찰)②_마현생창(동양고속)_왜관-태평건설" xfId="161"/>
    <cellStyle name="_대곡이설(투찰)_도덕-고흥도로(투찰)_합덕-신례원(2공구)투찰_봉무지방산업단지도로(투찰)②_왜관-태평건설" xfId="162"/>
    <cellStyle name="_대곡이설(투찰)_도덕-고흥도로(투찰)_합덕-신례원(2공구)투찰_봉무지방산업단지도로(투찰)②+0.250%" xfId="163"/>
    <cellStyle name="_대곡이설(투찰)_도덕-고흥도로(투찰)_합덕-신례원(2공구)투찰_봉무지방산업단지도로(투찰)②+0.250%_마현생창(동양고속)" xfId="164"/>
    <cellStyle name="_대곡이설(투찰)_도덕-고흥도로(투찰)_합덕-신례원(2공구)투찰_봉무지방산업단지도로(투찰)②+0.250%_마현생창(동양고속)_왜관-태평건설" xfId="165"/>
    <cellStyle name="_대곡이설(투찰)_도덕-고흥도로(투찰)_합덕-신례원(2공구)투찰_봉무지방산업단지도로(투찰)②+0.250%_왜관-태평건설" xfId="166"/>
    <cellStyle name="_대곡이설(투찰)_도덕-고흥도로(투찰)_합덕-신례원(2공구)투찰_왜관-태평건설" xfId="167"/>
    <cellStyle name="_대곡이설(투찰)_도덕-고흥도로(투찰)_합덕-신례원(2공구)투찰_합덕-신례원(2공구)투찰" xfId="168"/>
    <cellStyle name="_대곡이설(투찰)_도덕-고흥도로(투찰)_합덕-신례원(2공구)투찰_합덕-신례원(2공구)투찰_경찰서-터미널간도로(투찰)②" xfId="169"/>
    <cellStyle name="_대곡이설(투찰)_도덕-고흥도로(투찰)_합덕-신례원(2공구)투찰_합덕-신례원(2공구)투찰_경찰서-터미널간도로(투찰)②_마현생창(동양고속)" xfId="170"/>
    <cellStyle name="_대곡이설(투찰)_도덕-고흥도로(투찰)_합덕-신례원(2공구)투찰_합덕-신례원(2공구)투찰_경찰서-터미널간도로(투찰)②_마현생창(동양고속)_왜관-태평건설" xfId="171"/>
    <cellStyle name="_대곡이설(투찰)_도덕-고흥도로(투찰)_합덕-신례원(2공구)투찰_합덕-신례원(2공구)투찰_경찰서-터미널간도로(투찰)②_왜관-태평건설" xfId="172"/>
    <cellStyle name="_대곡이설(투찰)_도덕-고흥도로(투찰)_합덕-신례원(2공구)투찰_합덕-신례원(2공구)투찰_마현생창(동양고속)" xfId="173"/>
    <cellStyle name="_대곡이설(투찰)_도덕-고흥도로(투찰)_합덕-신례원(2공구)투찰_합덕-신례원(2공구)투찰_마현생창(동양고속)_왜관-태평건설" xfId="174"/>
    <cellStyle name="_대곡이설(투찰)_도덕-고흥도로(투찰)_합덕-신례원(2공구)투찰_합덕-신례원(2공구)투찰_봉무지방산업단지도로(투찰)②" xfId="175"/>
    <cellStyle name="_대곡이설(투찰)_도덕-고흥도로(투찰)_합덕-신례원(2공구)투찰_합덕-신례원(2공구)투찰_봉무지방산업단지도로(투찰)②_마현생창(동양고속)" xfId="176"/>
    <cellStyle name="_대곡이설(투찰)_도덕-고흥도로(투찰)_합덕-신례원(2공구)투찰_합덕-신례원(2공구)투찰_봉무지방산업단지도로(투찰)②_마현생창(동양고속)_왜관-태평건설" xfId="177"/>
    <cellStyle name="_대곡이설(투찰)_도덕-고흥도로(투찰)_합덕-신례원(2공구)투찰_합덕-신례원(2공구)투찰_봉무지방산업단지도로(투찰)②_왜관-태평건설" xfId="178"/>
    <cellStyle name="_대곡이설(투찰)_도덕-고흥도로(투찰)_합덕-신례원(2공구)투찰_합덕-신례원(2공구)투찰_봉무지방산업단지도로(투찰)②+0.250%" xfId="179"/>
    <cellStyle name="_대곡이설(투찰)_도덕-고흥도로(투찰)_합덕-신례원(2공구)투찰_합덕-신례원(2공구)투찰_봉무지방산업단지도로(투찰)②+0.250%_마현생창(동양고속)" xfId="180"/>
    <cellStyle name="_대곡이설(투찰)_도덕-고흥도로(투찰)_합덕-신례원(2공구)투찰_합덕-신례원(2공구)투찰_봉무지방산업단지도로(투찰)②+0.250%_마현생창(동양고속)_왜관-태평건설" xfId="181"/>
    <cellStyle name="_대곡이설(투찰)_도덕-고흥도로(투찰)_합덕-신례원(2공구)투찰_합덕-신례원(2공구)투찰_봉무지방산업단지도로(투찰)②+0.250%_왜관-태평건설" xfId="182"/>
    <cellStyle name="_대곡이설(투찰)_도덕-고흥도로(투찰)_합덕-신례원(2공구)투찰_합덕-신례원(2공구)투찰_왜관-태평건설" xfId="183"/>
    <cellStyle name="_대곡이설(투찰)_마현생창(동양고속)" xfId="184"/>
    <cellStyle name="_대곡이설(투찰)_마현생창(동양고속)_왜관-태평건설" xfId="185"/>
    <cellStyle name="_대곡이설(투찰)_봉무지방산업단지도로(투찰)②" xfId="186"/>
    <cellStyle name="_대곡이설(투찰)_봉무지방산업단지도로(투찰)②_마현생창(동양고속)" xfId="187"/>
    <cellStyle name="_대곡이설(투찰)_봉무지방산업단지도로(투찰)②_마현생창(동양고속)_왜관-태평건설" xfId="188"/>
    <cellStyle name="_대곡이설(투찰)_봉무지방산업단지도로(투찰)②_왜관-태평건설" xfId="189"/>
    <cellStyle name="_대곡이설(투찰)_봉무지방산업단지도로(투찰)②+0.250%" xfId="190"/>
    <cellStyle name="_대곡이설(투찰)_봉무지방산업단지도로(투찰)②+0.250%_마현생창(동양고속)" xfId="191"/>
    <cellStyle name="_대곡이설(투찰)_봉무지방산업단지도로(투찰)②+0.250%_마현생창(동양고속)_왜관-태평건설" xfId="192"/>
    <cellStyle name="_대곡이설(투찰)_봉무지방산업단지도로(투찰)②+0.250%_왜관-태평건설" xfId="193"/>
    <cellStyle name="_대곡이설(투찰)_안산부대(투찰)⑤" xfId="194"/>
    <cellStyle name="_대곡이설(투찰)_안산부대(투찰)⑤_경찰서-터미널간도로(투찰)②" xfId="195"/>
    <cellStyle name="_대곡이설(투찰)_안산부대(투찰)⑤_경찰서-터미널간도로(투찰)②_마현생창(동양고속)" xfId="196"/>
    <cellStyle name="_대곡이설(투찰)_안산부대(투찰)⑤_경찰서-터미널간도로(투찰)②_마현생창(동양고속)_왜관-태평건설" xfId="197"/>
    <cellStyle name="_대곡이설(투찰)_안산부대(투찰)⑤_경찰서-터미널간도로(투찰)②_왜관-태평건설" xfId="198"/>
    <cellStyle name="_대곡이설(투찰)_안산부대(투찰)⑤_마현생창(동양고속)" xfId="199"/>
    <cellStyle name="_대곡이설(투찰)_안산부대(투찰)⑤_마현생창(동양고속)_왜관-태평건설" xfId="200"/>
    <cellStyle name="_대곡이설(투찰)_안산부대(투찰)⑤_봉무지방산업단지도로(투찰)②" xfId="201"/>
    <cellStyle name="_대곡이설(투찰)_안산부대(투찰)⑤_봉무지방산업단지도로(투찰)②_마현생창(동양고속)" xfId="202"/>
    <cellStyle name="_대곡이설(투찰)_안산부대(투찰)⑤_봉무지방산업단지도로(투찰)②_마현생창(동양고속)_왜관-태평건설" xfId="203"/>
    <cellStyle name="_대곡이설(투찰)_안산부대(투찰)⑤_봉무지방산업단지도로(투찰)②_왜관-태평건설" xfId="204"/>
    <cellStyle name="_대곡이설(투찰)_안산부대(투찰)⑤_봉무지방산업단지도로(투찰)②+0.250%" xfId="205"/>
    <cellStyle name="_대곡이설(투찰)_안산부대(투찰)⑤_봉무지방산업단지도로(투찰)②+0.250%_마현생창(동양고속)" xfId="206"/>
    <cellStyle name="_대곡이설(투찰)_안산부대(투찰)⑤_봉무지방산업단지도로(투찰)②+0.250%_마현생창(동양고속)_왜관-태평건설" xfId="207"/>
    <cellStyle name="_대곡이설(투찰)_안산부대(투찰)⑤_봉무지방산업단지도로(투찰)②+0.250%_왜관-태평건설" xfId="208"/>
    <cellStyle name="_대곡이설(투찰)_안산부대(투찰)⑤_왜관-태평건설" xfId="209"/>
    <cellStyle name="_대곡이설(투찰)_안산부대(투찰)⑤_합덕-신례원(2공구)투찰" xfId="210"/>
    <cellStyle name="_대곡이설(투찰)_안산부대(투찰)⑤_합덕-신례원(2공구)투찰_경찰서-터미널간도로(투찰)②" xfId="211"/>
    <cellStyle name="_대곡이설(투찰)_안산부대(투찰)⑤_합덕-신례원(2공구)투찰_경찰서-터미널간도로(투찰)②_마현생창(동양고속)" xfId="212"/>
    <cellStyle name="_대곡이설(투찰)_안산부대(투찰)⑤_합덕-신례원(2공구)투찰_경찰서-터미널간도로(투찰)②_마현생창(동양고속)_왜관-태평건설" xfId="213"/>
    <cellStyle name="_대곡이설(투찰)_안산부대(투찰)⑤_합덕-신례원(2공구)투찰_경찰서-터미널간도로(투찰)②_왜관-태평건설" xfId="214"/>
    <cellStyle name="_대곡이설(투찰)_안산부대(투찰)⑤_합덕-신례원(2공구)투찰_마현생창(동양고속)" xfId="215"/>
    <cellStyle name="_대곡이설(투찰)_안산부대(투찰)⑤_합덕-신례원(2공구)투찰_마현생창(동양고속)_왜관-태평건설" xfId="216"/>
    <cellStyle name="_대곡이설(투찰)_안산부대(투찰)⑤_합덕-신례원(2공구)투찰_봉무지방산업단지도로(투찰)②" xfId="217"/>
    <cellStyle name="_대곡이설(투찰)_안산부대(투찰)⑤_합덕-신례원(2공구)투찰_봉무지방산업단지도로(투찰)②_마현생창(동양고속)" xfId="218"/>
    <cellStyle name="_대곡이설(투찰)_안산부대(투찰)⑤_합덕-신례원(2공구)투찰_봉무지방산업단지도로(투찰)②_마현생창(동양고속)_왜관-태평건설" xfId="219"/>
    <cellStyle name="_대곡이설(투찰)_안산부대(투찰)⑤_합덕-신례원(2공구)투찰_봉무지방산업단지도로(투찰)②_왜관-태평건설" xfId="220"/>
    <cellStyle name="_대곡이설(투찰)_안산부대(투찰)⑤_합덕-신례원(2공구)투찰_봉무지방산업단지도로(투찰)②+0.250%" xfId="221"/>
    <cellStyle name="_대곡이설(투찰)_안산부대(투찰)⑤_합덕-신례원(2공구)투찰_봉무지방산업단지도로(투찰)②+0.250%_마현생창(동양고속)" xfId="222"/>
    <cellStyle name="_대곡이설(투찰)_안산부대(투찰)⑤_합덕-신례원(2공구)투찰_봉무지방산업단지도로(투찰)②+0.250%_마현생창(동양고속)_왜관-태평건설" xfId="223"/>
    <cellStyle name="_대곡이설(투찰)_안산부대(투찰)⑤_합덕-신례원(2공구)투찰_봉무지방산업단지도로(투찰)②+0.250%_왜관-태평건설" xfId="224"/>
    <cellStyle name="_대곡이설(투찰)_안산부대(투찰)⑤_합덕-신례원(2공구)투찰_왜관-태평건설" xfId="225"/>
    <cellStyle name="_대곡이설(투찰)_안산부대(투찰)⑤_합덕-신례원(2공구)투찰_합덕-신례원(2공구)투찰" xfId="226"/>
    <cellStyle name="_대곡이설(투찰)_안산부대(투찰)⑤_합덕-신례원(2공구)투찰_합덕-신례원(2공구)투찰_경찰서-터미널간도로(투찰)②" xfId="227"/>
    <cellStyle name="_대곡이설(투찰)_안산부대(투찰)⑤_합덕-신례원(2공구)투찰_합덕-신례원(2공구)투찰_경찰서-터미널간도로(투찰)②_마현생창(동양고속)" xfId="228"/>
    <cellStyle name="_대곡이설(투찰)_안산부대(투찰)⑤_합덕-신례원(2공구)투찰_합덕-신례원(2공구)투찰_경찰서-터미널간도로(투찰)②_마현생창(동양고속)_왜관-태평건설" xfId="229"/>
    <cellStyle name="_대곡이설(투찰)_안산부대(투찰)⑤_합덕-신례원(2공구)투찰_합덕-신례원(2공구)투찰_경찰서-터미널간도로(투찰)②_왜관-태평건설" xfId="230"/>
    <cellStyle name="_대곡이설(투찰)_안산부대(투찰)⑤_합덕-신례원(2공구)투찰_합덕-신례원(2공구)투찰_마현생창(동양고속)" xfId="231"/>
    <cellStyle name="_대곡이설(투찰)_안산부대(투찰)⑤_합덕-신례원(2공구)투찰_합덕-신례원(2공구)투찰_마현생창(동양고속)_왜관-태평건설" xfId="232"/>
    <cellStyle name="_대곡이설(투찰)_안산부대(투찰)⑤_합덕-신례원(2공구)투찰_합덕-신례원(2공구)투찰_봉무지방산업단지도로(투찰)②" xfId="233"/>
    <cellStyle name="_대곡이설(투찰)_안산부대(투찰)⑤_합덕-신례원(2공구)투찰_합덕-신례원(2공구)투찰_봉무지방산업단지도로(투찰)②_마현생창(동양고속)" xfId="234"/>
    <cellStyle name="_대곡이설(투찰)_안산부대(투찰)⑤_합덕-신례원(2공구)투찰_합덕-신례원(2공구)투찰_봉무지방산업단지도로(투찰)②_마현생창(동양고속)_왜관-태평건설" xfId="235"/>
    <cellStyle name="_대곡이설(투찰)_안산부대(투찰)⑤_합덕-신례원(2공구)투찰_합덕-신례원(2공구)투찰_봉무지방산업단지도로(투찰)②_왜관-태평건설" xfId="236"/>
    <cellStyle name="_대곡이설(투찰)_안산부대(투찰)⑤_합덕-신례원(2공구)투찰_합덕-신례원(2공구)투찰_봉무지방산업단지도로(투찰)②+0.250%" xfId="237"/>
    <cellStyle name="_대곡이설(투찰)_안산부대(투찰)⑤_합덕-신례원(2공구)투찰_합덕-신례원(2공구)투찰_봉무지방산업단지도로(투찰)②+0.250%_마현생창(동양고속)" xfId="238"/>
    <cellStyle name="_대곡이설(투찰)_안산부대(투찰)⑤_합덕-신례원(2공구)투찰_합덕-신례원(2공구)투찰_봉무지방산업단지도로(투찰)②+0.250%_마현생창(동양고속)_왜관-태평건설" xfId="239"/>
    <cellStyle name="_대곡이설(투찰)_안산부대(투찰)⑤_합덕-신례원(2공구)투찰_합덕-신례원(2공구)투찰_봉무지방산업단지도로(투찰)②+0.250%_왜관-태평건설" xfId="240"/>
    <cellStyle name="_대곡이설(투찰)_안산부대(투찰)⑤_합덕-신례원(2공구)투찰_합덕-신례원(2공구)투찰_왜관-태평건설" xfId="241"/>
    <cellStyle name="_대곡이설(투찰)_양곡부두(투찰)-0.31%" xfId="242"/>
    <cellStyle name="_대곡이설(투찰)_양곡부두(투찰)-0.31%_경찰서-터미널간도로(투찰)②" xfId="243"/>
    <cellStyle name="_대곡이설(투찰)_양곡부두(투찰)-0.31%_경찰서-터미널간도로(투찰)②_마현생창(동양고속)" xfId="244"/>
    <cellStyle name="_대곡이설(투찰)_양곡부두(투찰)-0.31%_경찰서-터미널간도로(투찰)②_마현생창(동양고속)_왜관-태평건설" xfId="245"/>
    <cellStyle name="_대곡이설(투찰)_양곡부두(투찰)-0.31%_경찰서-터미널간도로(투찰)②_왜관-태평건설" xfId="246"/>
    <cellStyle name="_대곡이설(투찰)_양곡부두(투찰)-0.31%_마현생창(동양고속)" xfId="247"/>
    <cellStyle name="_대곡이설(투찰)_양곡부두(투찰)-0.31%_마현생창(동양고속)_왜관-태평건설" xfId="248"/>
    <cellStyle name="_대곡이설(투찰)_양곡부두(투찰)-0.31%_봉무지방산업단지도로(투찰)②" xfId="249"/>
    <cellStyle name="_대곡이설(투찰)_양곡부두(투찰)-0.31%_봉무지방산업단지도로(투찰)②_마현생창(동양고속)" xfId="250"/>
    <cellStyle name="_대곡이설(투찰)_양곡부두(투찰)-0.31%_봉무지방산업단지도로(투찰)②_마현생창(동양고속)_왜관-태평건설" xfId="251"/>
    <cellStyle name="_대곡이설(투찰)_양곡부두(투찰)-0.31%_봉무지방산업단지도로(투찰)②_왜관-태평건설" xfId="252"/>
    <cellStyle name="_대곡이설(투찰)_양곡부두(투찰)-0.31%_봉무지방산업단지도로(투찰)②+0.250%" xfId="253"/>
    <cellStyle name="_대곡이설(투찰)_양곡부두(투찰)-0.31%_봉무지방산업단지도로(투찰)②+0.250%_마현생창(동양고속)" xfId="254"/>
    <cellStyle name="_대곡이설(투찰)_양곡부두(투찰)-0.31%_봉무지방산업단지도로(투찰)②+0.250%_마현생창(동양고속)_왜관-태평건설" xfId="255"/>
    <cellStyle name="_대곡이설(투찰)_양곡부두(투찰)-0.31%_봉무지방산업단지도로(투찰)②+0.250%_왜관-태평건설" xfId="256"/>
    <cellStyle name="_대곡이설(투찰)_양곡부두(투찰)-0.31%_왜관-태평건설" xfId="257"/>
    <cellStyle name="_대곡이설(투찰)_양곡부두(투찰)-0.31%_합덕-신례원(2공구)투찰" xfId="258"/>
    <cellStyle name="_대곡이설(투찰)_양곡부두(투찰)-0.31%_합덕-신례원(2공구)투찰_경찰서-터미널간도로(투찰)②" xfId="259"/>
    <cellStyle name="_대곡이설(투찰)_양곡부두(투찰)-0.31%_합덕-신례원(2공구)투찰_경찰서-터미널간도로(투찰)②_마현생창(동양고속)" xfId="260"/>
    <cellStyle name="_대곡이설(투찰)_양곡부두(투찰)-0.31%_합덕-신례원(2공구)투찰_경찰서-터미널간도로(투찰)②_마현생창(동양고속)_왜관-태평건설" xfId="261"/>
    <cellStyle name="_대곡이설(투찰)_양곡부두(투찰)-0.31%_합덕-신례원(2공구)투찰_경찰서-터미널간도로(투찰)②_왜관-태평건설" xfId="262"/>
    <cellStyle name="_대곡이설(투찰)_양곡부두(투찰)-0.31%_합덕-신례원(2공구)투찰_마현생창(동양고속)" xfId="263"/>
    <cellStyle name="_대곡이설(투찰)_양곡부두(투찰)-0.31%_합덕-신례원(2공구)투찰_마현생창(동양고속)_왜관-태평건설" xfId="264"/>
    <cellStyle name="_대곡이설(투찰)_양곡부두(투찰)-0.31%_합덕-신례원(2공구)투찰_봉무지방산업단지도로(투찰)②" xfId="265"/>
    <cellStyle name="_대곡이설(투찰)_양곡부두(투찰)-0.31%_합덕-신례원(2공구)투찰_봉무지방산업단지도로(투찰)②_마현생창(동양고속)" xfId="266"/>
    <cellStyle name="_대곡이설(투찰)_양곡부두(투찰)-0.31%_합덕-신례원(2공구)투찰_봉무지방산업단지도로(투찰)②_마현생창(동양고속)_왜관-태평건설" xfId="267"/>
    <cellStyle name="_대곡이설(투찰)_양곡부두(투찰)-0.31%_합덕-신례원(2공구)투찰_봉무지방산업단지도로(투찰)②_왜관-태평건설" xfId="268"/>
    <cellStyle name="_대곡이설(투찰)_양곡부두(투찰)-0.31%_합덕-신례원(2공구)투찰_봉무지방산업단지도로(투찰)②+0.250%" xfId="269"/>
    <cellStyle name="_대곡이설(투찰)_양곡부두(투찰)-0.31%_합덕-신례원(2공구)투찰_봉무지방산업단지도로(투찰)②+0.250%_마현생창(동양고속)" xfId="270"/>
    <cellStyle name="_대곡이설(투찰)_양곡부두(투찰)-0.31%_합덕-신례원(2공구)투찰_봉무지방산업단지도로(투찰)②+0.250%_마현생창(동양고속)_왜관-태평건설" xfId="271"/>
    <cellStyle name="_대곡이설(투찰)_양곡부두(투찰)-0.31%_합덕-신례원(2공구)투찰_봉무지방산업단지도로(투찰)②+0.250%_왜관-태평건설" xfId="272"/>
    <cellStyle name="_대곡이설(투찰)_양곡부두(투찰)-0.31%_합덕-신례원(2공구)투찰_왜관-태평건설" xfId="273"/>
    <cellStyle name="_대곡이설(투찰)_양곡부두(투찰)-0.31%_합덕-신례원(2공구)투찰_합덕-신례원(2공구)투찰" xfId="274"/>
    <cellStyle name="_대곡이설(투찰)_양곡부두(투찰)-0.31%_합덕-신례원(2공구)투찰_합덕-신례원(2공구)투찰_경찰서-터미널간도로(투찰)②" xfId="275"/>
    <cellStyle name="_대곡이설(투찰)_양곡부두(투찰)-0.31%_합덕-신례원(2공구)투찰_합덕-신례원(2공구)투찰_경찰서-터미널간도로(투찰)②_마현생창(동양고속)" xfId="276"/>
    <cellStyle name="_대곡이설(투찰)_양곡부두(투찰)-0.31%_합덕-신례원(2공구)투찰_합덕-신례원(2공구)투찰_경찰서-터미널간도로(투찰)②_마현생창(동양고속)_왜관-태평건설" xfId="277"/>
    <cellStyle name="_대곡이설(투찰)_양곡부두(투찰)-0.31%_합덕-신례원(2공구)투찰_합덕-신례원(2공구)투찰_경찰서-터미널간도로(투찰)②_왜관-태평건설" xfId="278"/>
    <cellStyle name="_대곡이설(투찰)_양곡부두(투찰)-0.31%_합덕-신례원(2공구)투찰_합덕-신례원(2공구)투찰_마현생창(동양고속)" xfId="279"/>
    <cellStyle name="_대곡이설(투찰)_양곡부두(투찰)-0.31%_합덕-신례원(2공구)투찰_합덕-신례원(2공구)투찰_마현생창(동양고속)_왜관-태평건설" xfId="280"/>
    <cellStyle name="_대곡이설(투찰)_양곡부두(투찰)-0.31%_합덕-신례원(2공구)투찰_합덕-신례원(2공구)투찰_봉무지방산업단지도로(투찰)②" xfId="281"/>
    <cellStyle name="_대곡이설(투찰)_양곡부두(투찰)-0.31%_합덕-신례원(2공구)투찰_합덕-신례원(2공구)투찰_봉무지방산업단지도로(투찰)②_마현생창(동양고속)" xfId="282"/>
    <cellStyle name="_대곡이설(투찰)_양곡부두(투찰)-0.31%_합덕-신례원(2공구)투찰_합덕-신례원(2공구)투찰_봉무지방산업단지도로(투찰)②_마현생창(동양고속)_왜관-태평건설" xfId="283"/>
    <cellStyle name="_대곡이설(투찰)_양곡부두(투찰)-0.31%_합덕-신례원(2공구)투찰_합덕-신례원(2공구)투찰_봉무지방산업단지도로(투찰)②_왜관-태평건설" xfId="284"/>
    <cellStyle name="_대곡이설(투찰)_양곡부두(투찰)-0.31%_합덕-신례원(2공구)투찰_합덕-신례원(2공구)투찰_봉무지방산업단지도로(투찰)②+0.250%" xfId="285"/>
    <cellStyle name="_대곡이설(투찰)_양곡부두(투찰)-0.31%_합덕-신례원(2공구)투찰_합덕-신례원(2공구)투찰_봉무지방산업단지도로(투찰)②+0.250%_마현생창(동양고속)" xfId="286"/>
    <cellStyle name="_대곡이설(투찰)_양곡부두(투찰)-0.31%_합덕-신례원(2공구)투찰_합덕-신례원(2공구)투찰_봉무지방산업단지도로(투찰)②+0.250%_마현생창(동양고속)_왜관-태평건설" xfId="287"/>
    <cellStyle name="_대곡이설(투찰)_양곡부두(투찰)-0.31%_합덕-신례원(2공구)투찰_합덕-신례원(2공구)투찰_봉무지방산업단지도로(투찰)②+0.250%_왜관-태평건설" xfId="288"/>
    <cellStyle name="_대곡이설(투찰)_양곡부두(투찰)-0.31%_합덕-신례원(2공구)투찰_합덕-신례원(2공구)투찰_왜관-태평건설" xfId="289"/>
    <cellStyle name="_대곡이설(투찰)_왜관-태평건설" xfId="290"/>
    <cellStyle name="_대곡이설(투찰)_창원상수도(토목)투찰" xfId="291"/>
    <cellStyle name="_대곡이설(투찰)_창원상수도(토목)투찰_경찰서-터미널간도로(투찰)②" xfId="292"/>
    <cellStyle name="_대곡이설(투찰)_창원상수도(토목)투찰_경찰서-터미널간도로(투찰)②_마현생창(동양고속)" xfId="293"/>
    <cellStyle name="_대곡이설(투찰)_창원상수도(토목)투찰_경찰서-터미널간도로(투찰)②_마현생창(동양고속)_왜관-태평건설" xfId="294"/>
    <cellStyle name="_대곡이설(투찰)_창원상수도(토목)투찰_경찰서-터미널간도로(투찰)②_왜관-태평건설" xfId="295"/>
    <cellStyle name="_대곡이설(투찰)_창원상수도(토목)투찰_마현생창(동양고속)" xfId="296"/>
    <cellStyle name="_대곡이설(투찰)_창원상수도(토목)투찰_마현생창(동양고속)_왜관-태평건설" xfId="297"/>
    <cellStyle name="_대곡이설(투찰)_창원상수도(토목)투찰_봉무지방산업단지도로(투찰)②" xfId="298"/>
    <cellStyle name="_대곡이설(투찰)_창원상수도(토목)투찰_봉무지방산업단지도로(투찰)②_마현생창(동양고속)" xfId="299"/>
    <cellStyle name="_대곡이설(투찰)_창원상수도(토목)투찰_봉무지방산업단지도로(투찰)②_마현생창(동양고속)_왜관-태평건설" xfId="300"/>
    <cellStyle name="_대곡이설(투찰)_창원상수도(토목)투찰_봉무지방산업단지도로(투찰)②_왜관-태평건설" xfId="301"/>
    <cellStyle name="_대곡이설(투찰)_창원상수도(토목)투찰_봉무지방산업단지도로(투찰)②+0.250%" xfId="302"/>
    <cellStyle name="_대곡이설(투찰)_창원상수도(토목)투찰_봉무지방산업단지도로(투찰)②+0.250%_마현생창(동양고속)" xfId="303"/>
    <cellStyle name="_대곡이설(투찰)_창원상수도(토목)투찰_봉무지방산업단지도로(투찰)②+0.250%_마현생창(동양고속)_왜관-태평건설" xfId="304"/>
    <cellStyle name="_대곡이설(투찰)_창원상수도(토목)투찰_봉무지방산업단지도로(투찰)②+0.250%_왜관-태평건설" xfId="305"/>
    <cellStyle name="_대곡이설(투찰)_창원상수도(토목)투찰_왜관-태평건설" xfId="306"/>
    <cellStyle name="_대곡이설(투찰)_창원상수도(토목)투찰_합덕-신례원(2공구)투찰" xfId="307"/>
    <cellStyle name="_대곡이설(투찰)_창원상수도(토목)투찰_합덕-신례원(2공구)투찰_경찰서-터미널간도로(투찰)②" xfId="308"/>
    <cellStyle name="_대곡이설(투찰)_창원상수도(토목)투찰_합덕-신례원(2공구)투찰_경찰서-터미널간도로(투찰)②_마현생창(동양고속)" xfId="309"/>
    <cellStyle name="_대곡이설(투찰)_창원상수도(토목)투찰_합덕-신례원(2공구)투찰_경찰서-터미널간도로(투찰)②_마현생창(동양고속)_왜관-태평건설" xfId="310"/>
    <cellStyle name="_대곡이설(투찰)_창원상수도(토목)투찰_합덕-신례원(2공구)투찰_경찰서-터미널간도로(투찰)②_왜관-태평건설" xfId="311"/>
    <cellStyle name="_대곡이설(투찰)_창원상수도(토목)투찰_합덕-신례원(2공구)투찰_마현생창(동양고속)" xfId="312"/>
    <cellStyle name="_대곡이설(투찰)_창원상수도(토목)투찰_합덕-신례원(2공구)투찰_마현생창(동양고속)_왜관-태평건설" xfId="313"/>
    <cellStyle name="_대곡이설(투찰)_창원상수도(토목)투찰_합덕-신례원(2공구)투찰_봉무지방산업단지도로(투찰)②" xfId="314"/>
    <cellStyle name="_대곡이설(투찰)_창원상수도(토목)투찰_합덕-신례원(2공구)투찰_봉무지방산업단지도로(투찰)②_마현생창(동양고속)" xfId="315"/>
    <cellStyle name="_대곡이설(투찰)_창원상수도(토목)투찰_합덕-신례원(2공구)투찰_봉무지방산업단지도로(투찰)②_마현생창(동양고속)_왜관-태평건설" xfId="316"/>
    <cellStyle name="_대곡이설(투찰)_창원상수도(토목)투찰_합덕-신례원(2공구)투찰_봉무지방산업단지도로(투찰)②_왜관-태평건설" xfId="317"/>
    <cellStyle name="_대곡이설(투찰)_창원상수도(토목)투찰_합덕-신례원(2공구)투찰_봉무지방산업단지도로(투찰)②+0.250%" xfId="318"/>
    <cellStyle name="_대곡이설(투찰)_창원상수도(토목)투찰_합덕-신례원(2공구)투찰_봉무지방산업단지도로(투찰)②+0.250%_마현생창(동양고속)" xfId="319"/>
    <cellStyle name="_대곡이설(투찰)_창원상수도(토목)투찰_합덕-신례원(2공구)투찰_봉무지방산업단지도로(투찰)②+0.250%_마현생창(동양고속)_왜관-태평건설" xfId="320"/>
    <cellStyle name="_대곡이설(투찰)_창원상수도(토목)투찰_합덕-신례원(2공구)투찰_봉무지방산업단지도로(투찰)②+0.250%_왜관-태평건설" xfId="321"/>
    <cellStyle name="_대곡이설(투찰)_창원상수도(토목)투찰_합덕-신례원(2공구)투찰_왜관-태평건설" xfId="322"/>
    <cellStyle name="_대곡이설(투찰)_창원상수도(토목)투찰_합덕-신례원(2공구)투찰_합덕-신례원(2공구)투찰" xfId="323"/>
    <cellStyle name="_대곡이설(투찰)_창원상수도(토목)투찰_합덕-신례원(2공구)투찰_합덕-신례원(2공구)투찰_경찰서-터미널간도로(투찰)②" xfId="324"/>
    <cellStyle name="_대곡이설(투찰)_창원상수도(토목)투찰_합덕-신례원(2공구)투찰_합덕-신례원(2공구)투찰_경찰서-터미널간도로(투찰)②_마현생창(동양고속)" xfId="325"/>
    <cellStyle name="_대곡이설(투찰)_창원상수도(토목)투찰_합덕-신례원(2공구)투찰_합덕-신례원(2공구)투찰_경찰서-터미널간도로(투찰)②_마현생창(동양고속)_왜관-태평건설" xfId="326"/>
    <cellStyle name="_대곡이설(투찰)_창원상수도(토목)투찰_합덕-신례원(2공구)투찰_합덕-신례원(2공구)투찰_경찰서-터미널간도로(투찰)②_왜관-태평건설" xfId="327"/>
    <cellStyle name="_대곡이설(투찰)_창원상수도(토목)투찰_합덕-신례원(2공구)투찰_합덕-신례원(2공구)투찰_마현생창(동양고속)" xfId="328"/>
    <cellStyle name="_대곡이설(투찰)_창원상수도(토목)투찰_합덕-신례원(2공구)투찰_합덕-신례원(2공구)투찰_마현생창(동양고속)_왜관-태평건설" xfId="329"/>
    <cellStyle name="_대곡이설(투찰)_창원상수도(토목)투찰_합덕-신례원(2공구)투찰_합덕-신례원(2공구)투찰_봉무지방산업단지도로(투찰)②" xfId="330"/>
    <cellStyle name="_대곡이설(투찰)_창원상수도(토목)투찰_합덕-신례원(2공구)투찰_합덕-신례원(2공구)투찰_봉무지방산업단지도로(투찰)②_마현생창(동양고속)" xfId="331"/>
    <cellStyle name="_대곡이설(투찰)_창원상수도(토목)투찰_합덕-신례원(2공구)투찰_합덕-신례원(2공구)투찰_봉무지방산업단지도로(투찰)②_마현생창(동양고속)_왜관-태평건설" xfId="332"/>
    <cellStyle name="_대곡이설(투찰)_창원상수도(토목)투찰_합덕-신례원(2공구)투찰_합덕-신례원(2공구)투찰_봉무지방산업단지도로(투찰)②_왜관-태평건설" xfId="333"/>
    <cellStyle name="_대곡이설(투찰)_창원상수도(토목)투찰_합덕-신례원(2공구)투찰_합덕-신례원(2공구)투찰_봉무지방산업단지도로(투찰)②+0.250%" xfId="334"/>
    <cellStyle name="_대곡이설(투찰)_창원상수도(토목)투찰_합덕-신례원(2공구)투찰_합덕-신례원(2공구)투찰_봉무지방산업단지도로(투찰)②+0.250%_마현생창(동양고속)" xfId="335"/>
    <cellStyle name="_대곡이설(투찰)_창원상수도(토목)투찰_합덕-신례원(2공구)투찰_합덕-신례원(2공구)투찰_봉무지방산업단지도로(투찰)②+0.250%_마현생창(동양고속)_왜관-태평건설" xfId="336"/>
    <cellStyle name="_대곡이설(투찰)_창원상수도(토목)투찰_합덕-신례원(2공구)투찰_합덕-신례원(2공구)투찰_봉무지방산업단지도로(투찰)②+0.250%_왜관-태평건설" xfId="337"/>
    <cellStyle name="_대곡이설(투찰)_창원상수도(토목)투찰_합덕-신례원(2공구)투찰_합덕-신례원(2공구)투찰_왜관-태평건설" xfId="338"/>
    <cellStyle name="_대곡이설(투찰)_합덕-신례원(2공구)투찰" xfId="339"/>
    <cellStyle name="_대곡이설(투찰)_합덕-신례원(2공구)투찰_경찰서-터미널간도로(투찰)②" xfId="340"/>
    <cellStyle name="_대곡이설(투찰)_합덕-신례원(2공구)투찰_경찰서-터미널간도로(투찰)②_마현생창(동양고속)" xfId="341"/>
    <cellStyle name="_대곡이설(투찰)_합덕-신례원(2공구)투찰_경찰서-터미널간도로(투찰)②_마현생창(동양고속)_왜관-태평건설" xfId="342"/>
    <cellStyle name="_대곡이설(투찰)_합덕-신례원(2공구)투찰_경찰서-터미널간도로(투찰)②_왜관-태평건설" xfId="343"/>
    <cellStyle name="_대곡이설(투찰)_합덕-신례원(2공구)투찰_마현생창(동양고속)" xfId="344"/>
    <cellStyle name="_대곡이설(투찰)_합덕-신례원(2공구)투찰_마현생창(동양고속)_왜관-태평건설" xfId="345"/>
    <cellStyle name="_대곡이설(투찰)_합덕-신례원(2공구)투찰_봉무지방산업단지도로(투찰)②" xfId="346"/>
    <cellStyle name="_대곡이설(투찰)_합덕-신례원(2공구)투찰_봉무지방산업단지도로(투찰)②_마현생창(동양고속)" xfId="347"/>
    <cellStyle name="_대곡이설(투찰)_합덕-신례원(2공구)투찰_봉무지방산업단지도로(투찰)②_마현생창(동양고속)_왜관-태평건설" xfId="348"/>
    <cellStyle name="_대곡이설(투찰)_합덕-신례원(2공구)투찰_봉무지방산업단지도로(투찰)②_왜관-태평건설" xfId="349"/>
    <cellStyle name="_대곡이설(투찰)_합덕-신례원(2공구)투찰_봉무지방산업단지도로(투찰)②+0.250%" xfId="350"/>
    <cellStyle name="_대곡이설(투찰)_합덕-신례원(2공구)투찰_봉무지방산업단지도로(투찰)②+0.250%_마현생창(동양고속)" xfId="351"/>
    <cellStyle name="_대곡이설(투찰)_합덕-신례원(2공구)투찰_봉무지방산업단지도로(투찰)②+0.250%_마현생창(동양고속)_왜관-태평건설" xfId="352"/>
    <cellStyle name="_대곡이설(투찰)_합덕-신례원(2공구)투찰_봉무지방산업단지도로(투찰)②+0.250%_왜관-태평건설" xfId="353"/>
    <cellStyle name="_대곡이설(투찰)_합덕-신례원(2공구)투찰_왜관-태평건설" xfId="354"/>
    <cellStyle name="_대곡이설(투찰)_합덕-신례원(2공구)투찰_합덕-신례원(2공구)투찰" xfId="355"/>
    <cellStyle name="_대곡이설(투찰)_합덕-신례원(2공구)투찰_합덕-신례원(2공구)투찰_경찰서-터미널간도로(투찰)②" xfId="356"/>
    <cellStyle name="_대곡이설(투찰)_합덕-신례원(2공구)투찰_합덕-신례원(2공구)투찰_경찰서-터미널간도로(투찰)②_마현생창(동양고속)" xfId="357"/>
    <cellStyle name="_대곡이설(투찰)_합덕-신례원(2공구)투찰_합덕-신례원(2공구)투찰_경찰서-터미널간도로(투찰)②_마현생창(동양고속)_왜관-태평건설" xfId="358"/>
    <cellStyle name="_대곡이설(투찰)_합덕-신례원(2공구)투찰_합덕-신례원(2공구)투찰_경찰서-터미널간도로(투찰)②_왜관-태평건설" xfId="359"/>
    <cellStyle name="_대곡이설(투찰)_합덕-신례원(2공구)투찰_합덕-신례원(2공구)투찰_마현생창(동양고속)" xfId="360"/>
    <cellStyle name="_대곡이설(투찰)_합덕-신례원(2공구)투찰_합덕-신례원(2공구)투찰_마현생창(동양고속)_왜관-태평건설" xfId="361"/>
    <cellStyle name="_대곡이설(투찰)_합덕-신례원(2공구)투찰_합덕-신례원(2공구)투찰_봉무지방산업단지도로(투찰)②" xfId="362"/>
    <cellStyle name="_대곡이설(투찰)_합덕-신례원(2공구)투찰_합덕-신례원(2공구)투찰_봉무지방산업단지도로(투찰)②_마현생창(동양고속)" xfId="363"/>
    <cellStyle name="_대곡이설(투찰)_합덕-신례원(2공구)투찰_합덕-신례원(2공구)투찰_봉무지방산업단지도로(투찰)②_마현생창(동양고속)_왜관-태평건설" xfId="364"/>
    <cellStyle name="_대곡이설(투찰)_합덕-신례원(2공구)투찰_합덕-신례원(2공구)투찰_봉무지방산업단지도로(투찰)②_왜관-태평건설" xfId="365"/>
    <cellStyle name="_대곡이설(투찰)_합덕-신례원(2공구)투찰_합덕-신례원(2공구)투찰_봉무지방산업단지도로(투찰)②+0.250%" xfId="366"/>
    <cellStyle name="_대곡이설(투찰)_합덕-신례원(2공구)투찰_합덕-신례원(2공구)투찰_봉무지방산업단지도로(투찰)②+0.250%_마현생창(동양고속)" xfId="367"/>
    <cellStyle name="_대곡이설(투찰)_합덕-신례원(2공구)투찰_합덕-신례원(2공구)투찰_봉무지방산업단지도로(투찰)②+0.250%_마현생창(동양고속)_왜관-태평건설" xfId="368"/>
    <cellStyle name="_대곡이설(투찰)_합덕-신례원(2공구)투찰_합덕-신례원(2공구)투찰_봉무지방산업단지도로(투찰)②+0.250%_왜관-태평건설" xfId="369"/>
    <cellStyle name="_대곡이설(투찰)_합덕-신례원(2공구)투찰_합덕-신례원(2공구)투찰_왜관-태평건설" xfId="370"/>
    <cellStyle name="_도고천품의안11" xfId="371"/>
    <cellStyle name="_도고천품의안11_1" xfId="372"/>
    <cellStyle name="_도고천품의안11_광주평동투찰" xfId="373"/>
    <cellStyle name="_도고천품의안11_광주평동품의1" xfId="374"/>
    <cellStyle name="_도고천품의안11_송학하수품의(설계넣고)" xfId="375"/>
    <cellStyle name="_도덕-고흥도로(투찰)" xfId="376"/>
    <cellStyle name="_두계변전소하도급" xfId="377"/>
    <cellStyle name="_매정견적보고" xfId="378"/>
    <cellStyle name="_명암지도로투찰2" xfId="379"/>
    <cellStyle name="_무창(전자입찰용)" xfId="380"/>
    <cellStyle name="_무창(전자입찰용)_왜관-태평건설" xfId="381"/>
    <cellStyle name="_부대입찰양식②" xfId="382"/>
    <cellStyle name="_부대입찰양식②_경찰서-터미널간도로(투찰)②" xfId="383"/>
    <cellStyle name="_부대입찰양식②_경찰서-터미널간도로(투찰)②_마현생창(동양고속)" xfId="384"/>
    <cellStyle name="_부대입찰양식②_경찰서-터미널간도로(투찰)②_마현생창(동양고속)_왜관-태평건설" xfId="385"/>
    <cellStyle name="_부대입찰양식②_경찰서-터미널간도로(투찰)②_왜관-태평건설" xfId="386"/>
    <cellStyle name="_부대입찰양식②_마현생창(동양고속)" xfId="387"/>
    <cellStyle name="_부대입찰양식②_마현생창(동양고속)_왜관-태평건설" xfId="388"/>
    <cellStyle name="_부대입찰양식②_봉무지방산업단지도로(투찰)②" xfId="389"/>
    <cellStyle name="_부대입찰양식②_봉무지방산업단지도로(투찰)②_마현생창(동양고속)" xfId="390"/>
    <cellStyle name="_부대입찰양식②_봉무지방산업단지도로(투찰)②_마현생창(동양고속)_왜관-태평건설" xfId="391"/>
    <cellStyle name="_부대입찰양식②_봉무지방산업단지도로(투찰)②_왜관-태평건설" xfId="392"/>
    <cellStyle name="_부대입찰양식②_봉무지방산업단지도로(투찰)②+0.250%" xfId="393"/>
    <cellStyle name="_부대입찰양식②_봉무지방산업단지도로(투찰)②+0.250%_마현생창(동양고속)" xfId="394"/>
    <cellStyle name="_부대입찰양식②_봉무지방산업단지도로(투찰)②+0.250%_마현생창(동양고속)_왜관-태평건설" xfId="395"/>
    <cellStyle name="_부대입찰양식②_봉무지방산업단지도로(투찰)②+0.250%_왜관-태평건설" xfId="396"/>
    <cellStyle name="_부대입찰양식②_왜관-태평건설" xfId="397"/>
    <cellStyle name="_부대입찰양식②_합덕-신례원(2공구)투찰" xfId="398"/>
    <cellStyle name="_부대입찰양식②_합덕-신례원(2공구)투찰_경찰서-터미널간도로(투찰)②" xfId="399"/>
    <cellStyle name="_부대입찰양식②_합덕-신례원(2공구)투찰_경찰서-터미널간도로(투찰)②_마현생창(동양고속)" xfId="400"/>
    <cellStyle name="_부대입찰양식②_합덕-신례원(2공구)투찰_경찰서-터미널간도로(투찰)②_마현생창(동양고속)_왜관-태평건설" xfId="401"/>
    <cellStyle name="_부대입찰양식②_합덕-신례원(2공구)투찰_경찰서-터미널간도로(투찰)②_왜관-태평건설" xfId="402"/>
    <cellStyle name="_부대입찰양식②_합덕-신례원(2공구)투찰_마현생창(동양고속)" xfId="403"/>
    <cellStyle name="_부대입찰양식②_합덕-신례원(2공구)투찰_마현생창(동양고속)_왜관-태평건설" xfId="404"/>
    <cellStyle name="_부대입찰양식②_합덕-신례원(2공구)투찰_봉무지방산업단지도로(투찰)②" xfId="405"/>
    <cellStyle name="_부대입찰양식②_합덕-신례원(2공구)투찰_봉무지방산업단지도로(투찰)②_마현생창(동양고속)" xfId="406"/>
    <cellStyle name="_부대입찰양식②_합덕-신례원(2공구)투찰_봉무지방산업단지도로(투찰)②_마현생창(동양고속)_왜관-태평건설" xfId="407"/>
    <cellStyle name="_부대입찰양식②_합덕-신례원(2공구)투찰_봉무지방산업단지도로(투찰)②_왜관-태평건설" xfId="408"/>
    <cellStyle name="_부대입찰양식②_합덕-신례원(2공구)투찰_봉무지방산업단지도로(투찰)②+0.250%" xfId="409"/>
    <cellStyle name="_부대입찰양식②_합덕-신례원(2공구)투찰_봉무지방산업단지도로(투찰)②+0.250%_마현생창(동양고속)" xfId="410"/>
    <cellStyle name="_부대입찰양식②_합덕-신례원(2공구)투찰_봉무지방산업단지도로(투찰)②+0.250%_마현생창(동양고속)_왜관-태평건설" xfId="411"/>
    <cellStyle name="_부대입찰양식②_합덕-신례원(2공구)투찰_봉무지방산업단지도로(투찰)②+0.250%_왜관-태평건설" xfId="412"/>
    <cellStyle name="_부대입찰양식②_합덕-신례원(2공구)투찰_왜관-태평건설" xfId="413"/>
    <cellStyle name="_부대입찰양식②_합덕-신례원(2공구)투찰_합덕-신례원(2공구)투찰" xfId="414"/>
    <cellStyle name="_부대입찰양식②_합덕-신례원(2공구)투찰_합덕-신례원(2공구)투찰_경찰서-터미널간도로(투찰)②" xfId="415"/>
    <cellStyle name="_부대입찰양식②_합덕-신례원(2공구)투찰_합덕-신례원(2공구)투찰_경찰서-터미널간도로(투찰)②_마현생창(동양고속)" xfId="416"/>
    <cellStyle name="_부대입찰양식②_합덕-신례원(2공구)투찰_합덕-신례원(2공구)투찰_경찰서-터미널간도로(투찰)②_마현생창(동양고속)_왜관-태평건설" xfId="417"/>
    <cellStyle name="_부대입찰양식②_합덕-신례원(2공구)투찰_합덕-신례원(2공구)투찰_경찰서-터미널간도로(투찰)②_왜관-태평건설" xfId="418"/>
    <cellStyle name="_부대입찰양식②_합덕-신례원(2공구)투찰_합덕-신례원(2공구)투찰_마현생창(동양고속)" xfId="419"/>
    <cellStyle name="_부대입찰양식②_합덕-신례원(2공구)투찰_합덕-신례원(2공구)투찰_마현생창(동양고속)_왜관-태평건설" xfId="420"/>
    <cellStyle name="_부대입찰양식②_합덕-신례원(2공구)투찰_합덕-신례원(2공구)투찰_봉무지방산업단지도로(투찰)②" xfId="421"/>
    <cellStyle name="_부대입찰양식②_합덕-신례원(2공구)투찰_합덕-신례원(2공구)투찰_봉무지방산업단지도로(투찰)②_마현생창(동양고속)" xfId="422"/>
    <cellStyle name="_부대입찰양식②_합덕-신례원(2공구)투찰_합덕-신례원(2공구)투찰_봉무지방산업단지도로(투찰)②_마현생창(동양고속)_왜관-태평건설" xfId="423"/>
    <cellStyle name="_부대입찰양식②_합덕-신례원(2공구)투찰_합덕-신례원(2공구)투찰_봉무지방산업단지도로(투찰)②_왜관-태평건설" xfId="424"/>
    <cellStyle name="_부대입찰양식②_합덕-신례원(2공구)투찰_합덕-신례원(2공구)투찰_봉무지방산업단지도로(투찰)②+0.250%" xfId="425"/>
    <cellStyle name="_부대입찰양식②_합덕-신례원(2공구)투찰_합덕-신례원(2공구)투찰_봉무지방산업단지도로(투찰)②+0.250%_마현생창(동양고속)" xfId="426"/>
    <cellStyle name="_부대입찰양식②_합덕-신례원(2공구)투찰_합덕-신례원(2공구)투찰_봉무지방산업단지도로(투찰)②+0.250%_마현생창(동양고속)_왜관-태평건설" xfId="427"/>
    <cellStyle name="_부대입찰양식②_합덕-신례원(2공구)투찰_합덕-신례원(2공구)투찰_봉무지방산업단지도로(투찰)②+0.250%_왜관-태평건설" xfId="428"/>
    <cellStyle name="_부대입찰양식②_합덕-신례원(2공구)투찰_합덕-신례원(2공구)투찰_왜관-태평건설" xfId="429"/>
    <cellStyle name="_부대입찰확약서" xfId="430"/>
    <cellStyle name="_부평배수지(투찰)" xfId="431"/>
    <cellStyle name="_부평배수지(투찰)_경찰서-터미널간도로(투찰)②" xfId="432"/>
    <cellStyle name="_부평배수지(투찰)_경찰서-터미널간도로(투찰)②_마현생창(동양고속)" xfId="433"/>
    <cellStyle name="_부평배수지(투찰)_경찰서-터미널간도로(투찰)②_마현생창(동양고속)_왜관-태평건설" xfId="434"/>
    <cellStyle name="_부평배수지(투찰)_경찰서-터미널간도로(투찰)②_왜관-태평건설" xfId="435"/>
    <cellStyle name="_부평배수지(투찰)_마현생창(동양고속)" xfId="436"/>
    <cellStyle name="_부평배수지(투찰)_마현생창(동양고속)_왜관-태평건설" xfId="437"/>
    <cellStyle name="_부평배수지(투찰)_봉무지방산업단지도로(투찰)②" xfId="438"/>
    <cellStyle name="_부평배수지(투찰)_봉무지방산업단지도로(투찰)②_마현생창(동양고속)" xfId="439"/>
    <cellStyle name="_부평배수지(투찰)_봉무지방산업단지도로(투찰)②_마현생창(동양고속)_왜관-태평건설" xfId="440"/>
    <cellStyle name="_부평배수지(투찰)_봉무지방산업단지도로(투찰)②_왜관-태평건설" xfId="441"/>
    <cellStyle name="_부평배수지(투찰)_봉무지방산업단지도로(투찰)②+0.250%" xfId="442"/>
    <cellStyle name="_부평배수지(투찰)_봉무지방산업단지도로(투찰)②+0.250%_마현생창(동양고속)" xfId="443"/>
    <cellStyle name="_부평배수지(투찰)_봉무지방산업단지도로(투찰)②+0.250%_마현생창(동양고속)_왜관-태평건설" xfId="444"/>
    <cellStyle name="_부평배수지(투찰)_봉무지방산업단지도로(투찰)②+0.250%_왜관-태평건설" xfId="445"/>
    <cellStyle name="_부평배수지(투찰)_왜관-태평건설" xfId="446"/>
    <cellStyle name="_부평배수지(투찰)_합덕-신례원(2공구)투찰" xfId="447"/>
    <cellStyle name="_부평배수지(투찰)_합덕-신례원(2공구)투찰_경찰서-터미널간도로(투찰)②" xfId="448"/>
    <cellStyle name="_부평배수지(투찰)_합덕-신례원(2공구)투찰_경찰서-터미널간도로(투찰)②_마현생창(동양고속)" xfId="449"/>
    <cellStyle name="_부평배수지(투찰)_합덕-신례원(2공구)투찰_경찰서-터미널간도로(투찰)②_마현생창(동양고속)_왜관-태평건설" xfId="450"/>
    <cellStyle name="_부평배수지(투찰)_합덕-신례원(2공구)투찰_경찰서-터미널간도로(투찰)②_왜관-태평건설" xfId="451"/>
    <cellStyle name="_부평배수지(투찰)_합덕-신례원(2공구)투찰_마현생창(동양고속)" xfId="452"/>
    <cellStyle name="_부평배수지(투찰)_합덕-신례원(2공구)투찰_마현생창(동양고속)_왜관-태평건설" xfId="453"/>
    <cellStyle name="_부평배수지(투찰)_합덕-신례원(2공구)투찰_봉무지방산업단지도로(투찰)②" xfId="454"/>
    <cellStyle name="_부평배수지(투찰)_합덕-신례원(2공구)투찰_봉무지방산업단지도로(투찰)②_마현생창(동양고속)" xfId="455"/>
    <cellStyle name="_부평배수지(투찰)_합덕-신례원(2공구)투찰_봉무지방산업단지도로(투찰)②_마현생창(동양고속)_왜관-태평건설" xfId="456"/>
    <cellStyle name="_부평배수지(투찰)_합덕-신례원(2공구)투찰_봉무지방산업단지도로(투찰)②_왜관-태평건설" xfId="457"/>
    <cellStyle name="_부평배수지(투찰)_합덕-신례원(2공구)투찰_봉무지방산업단지도로(투찰)②+0.250%" xfId="458"/>
    <cellStyle name="_부평배수지(투찰)_합덕-신례원(2공구)투찰_봉무지방산업단지도로(투찰)②+0.250%_마현생창(동양고속)" xfId="459"/>
    <cellStyle name="_부평배수지(투찰)_합덕-신례원(2공구)투찰_봉무지방산업단지도로(투찰)②+0.250%_마현생창(동양고속)_왜관-태평건설" xfId="460"/>
    <cellStyle name="_부평배수지(투찰)_합덕-신례원(2공구)투찰_봉무지방산업단지도로(투찰)②+0.250%_왜관-태평건설" xfId="461"/>
    <cellStyle name="_부평배수지(투찰)_합덕-신례원(2공구)투찰_왜관-태평건설" xfId="462"/>
    <cellStyle name="_부평배수지(투찰)_합덕-신례원(2공구)투찰_합덕-신례원(2공구)투찰" xfId="463"/>
    <cellStyle name="_부평배수지(투찰)_합덕-신례원(2공구)투찰_합덕-신례원(2공구)투찰_경찰서-터미널간도로(투찰)②" xfId="464"/>
    <cellStyle name="_부평배수지(투찰)_합덕-신례원(2공구)투찰_합덕-신례원(2공구)투찰_경찰서-터미널간도로(투찰)②_마현생창(동양고속)" xfId="465"/>
    <cellStyle name="_부평배수지(투찰)_합덕-신례원(2공구)투찰_합덕-신례원(2공구)투찰_경찰서-터미널간도로(투찰)②_마현생창(동양고속)_왜관-태평건설" xfId="466"/>
    <cellStyle name="_부평배수지(투찰)_합덕-신례원(2공구)투찰_합덕-신례원(2공구)투찰_경찰서-터미널간도로(투찰)②_왜관-태평건설" xfId="467"/>
    <cellStyle name="_부평배수지(투찰)_합덕-신례원(2공구)투찰_합덕-신례원(2공구)투찰_마현생창(동양고속)" xfId="468"/>
    <cellStyle name="_부평배수지(투찰)_합덕-신례원(2공구)투찰_합덕-신례원(2공구)투찰_마현생창(동양고속)_왜관-태평건설" xfId="469"/>
    <cellStyle name="_부평배수지(투찰)_합덕-신례원(2공구)투찰_합덕-신례원(2공구)투찰_봉무지방산업단지도로(투찰)②" xfId="470"/>
    <cellStyle name="_부평배수지(투찰)_합덕-신례원(2공구)투찰_합덕-신례원(2공구)투찰_봉무지방산업단지도로(투찰)②_마현생창(동양고속)" xfId="471"/>
    <cellStyle name="_부평배수지(투찰)_합덕-신례원(2공구)투찰_합덕-신례원(2공구)투찰_봉무지방산업단지도로(투찰)②_마현생창(동양고속)_왜관-태평건설" xfId="472"/>
    <cellStyle name="_부평배수지(투찰)_합덕-신례원(2공구)투찰_합덕-신례원(2공구)투찰_봉무지방산업단지도로(투찰)②_왜관-태평건설" xfId="473"/>
    <cellStyle name="_부평배수지(투찰)_합덕-신례원(2공구)투찰_합덕-신례원(2공구)투찰_봉무지방산업단지도로(투찰)②+0.250%" xfId="474"/>
    <cellStyle name="_부평배수지(투찰)_합덕-신례원(2공구)투찰_합덕-신례원(2공구)투찰_봉무지방산업단지도로(투찰)②+0.250%_마현생창(동양고속)" xfId="475"/>
    <cellStyle name="_부평배수지(투찰)_합덕-신례원(2공구)투찰_합덕-신례원(2공구)투찰_봉무지방산업단지도로(투찰)②+0.250%_마현생창(동양고속)_왜관-태평건설" xfId="476"/>
    <cellStyle name="_부평배수지(투찰)_합덕-신례원(2공구)투찰_합덕-신례원(2공구)투찰_봉무지방산업단지도로(투찰)②+0.250%_왜관-태평건설" xfId="477"/>
    <cellStyle name="_부평배수지(투찰)_합덕-신례원(2공구)투찰_합덕-신례원(2공구)투찰_왜관-태평건설" xfId="478"/>
    <cellStyle name="_사동초중" xfId="479"/>
    <cellStyle name="_서라벌고 내역서" xfId="480"/>
    <cellStyle name="_설계추정2(토목)대림" xfId="481"/>
    <cellStyle name="_소화펌프" xfId="482"/>
    <cellStyle name="_송학하수품의(설계넣고)" xfId="483"/>
    <cellStyle name="_신태백(가실행)" xfId="484"/>
    <cellStyle name="_신태백(가실행)_1" xfId="485"/>
    <cellStyle name="_신태백(가실행)_1_경찰서-터미널간도로(투찰)②" xfId="486"/>
    <cellStyle name="_신태백(가실행)_1_경찰서-터미널간도로(투찰)②_마현생창(동양고속)" xfId="487"/>
    <cellStyle name="_신태백(가실행)_1_경찰서-터미널간도로(투찰)②_마현생창(동양고속)_왜관-태평건설" xfId="488"/>
    <cellStyle name="_신태백(가실행)_1_경찰서-터미널간도로(투찰)②_왜관-태평건설" xfId="489"/>
    <cellStyle name="_신태백(가실행)_1_마현생창(동양고속)" xfId="490"/>
    <cellStyle name="_신태백(가실행)_1_마현생창(동양고속)_왜관-태평건설" xfId="491"/>
    <cellStyle name="_신태백(가실행)_1_봉무지방산업단지도로(투찰)②" xfId="492"/>
    <cellStyle name="_신태백(가실행)_1_봉무지방산업단지도로(투찰)②_마현생창(동양고속)" xfId="493"/>
    <cellStyle name="_신태백(가실행)_1_봉무지방산업단지도로(투찰)②_마현생창(동양고속)_왜관-태평건설" xfId="494"/>
    <cellStyle name="_신태백(가실행)_1_봉무지방산업단지도로(투찰)②_왜관-태평건설" xfId="495"/>
    <cellStyle name="_신태백(가실행)_1_봉무지방산업단지도로(투찰)②+0.250%" xfId="496"/>
    <cellStyle name="_신태백(가실행)_1_봉무지방산업단지도로(투찰)②+0.250%_마현생창(동양고속)" xfId="497"/>
    <cellStyle name="_신태백(가실행)_1_봉무지방산업단지도로(투찰)②+0.250%_마현생창(동양고속)_왜관-태평건설" xfId="498"/>
    <cellStyle name="_신태백(가실행)_1_봉무지방산업단지도로(투찰)②+0.250%_왜관-태평건설" xfId="499"/>
    <cellStyle name="_신태백(가실행)_1_왜관-태평건설" xfId="500"/>
    <cellStyle name="_신태백(가실행)_1_합덕-신례원(2공구)투찰" xfId="501"/>
    <cellStyle name="_신태백(가실행)_1_합덕-신례원(2공구)투찰_경찰서-터미널간도로(투찰)②" xfId="502"/>
    <cellStyle name="_신태백(가실행)_1_합덕-신례원(2공구)투찰_경찰서-터미널간도로(투찰)②_마현생창(동양고속)" xfId="503"/>
    <cellStyle name="_신태백(가실행)_1_합덕-신례원(2공구)투찰_경찰서-터미널간도로(투찰)②_마현생창(동양고속)_왜관-태평건설" xfId="504"/>
    <cellStyle name="_신태백(가실행)_1_합덕-신례원(2공구)투찰_경찰서-터미널간도로(투찰)②_왜관-태평건설" xfId="505"/>
    <cellStyle name="_신태백(가실행)_1_합덕-신례원(2공구)투찰_마현생창(동양고속)" xfId="506"/>
    <cellStyle name="_신태백(가실행)_1_합덕-신례원(2공구)투찰_마현생창(동양고속)_왜관-태평건설" xfId="507"/>
    <cellStyle name="_신태백(가실행)_1_합덕-신례원(2공구)투찰_봉무지방산업단지도로(투찰)②" xfId="508"/>
    <cellStyle name="_신태백(가실행)_1_합덕-신례원(2공구)투찰_봉무지방산업단지도로(투찰)②_마현생창(동양고속)" xfId="509"/>
    <cellStyle name="_신태백(가실행)_1_합덕-신례원(2공구)투찰_봉무지방산업단지도로(투찰)②_마현생창(동양고속)_왜관-태평건설" xfId="510"/>
    <cellStyle name="_신태백(가실행)_1_합덕-신례원(2공구)투찰_봉무지방산업단지도로(투찰)②_왜관-태평건설" xfId="511"/>
    <cellStyle name="_신태백(가실행)_1_합덕-신례원(2공구)투찰_봉무지방산업단지도로(투찰)②+0.250%" xfId="512"/>
    <cellStyle name="_신태백(가실행)_1_합덕-신례원(2공구)투찰_봉무지방산업단지도로(투찰)②+0.250%_마현생창(동양고속)" xfId="513"/>
    <cellStyle name="_신태백(가실행)_1_합덕-신례원(2공구)투찰_봉무지방산업단지도로(투찰)②+0.250%_마현생창(동양고속)_왜관-태평건설" xfId="514"/>
    <cellStyle name="_신태백(가실행)_1_합덕-신례원(2공구)투찰_봉무지방산업단지도로(투찰)②+0.250%_왜관-태평건설" xfId="515"/>
    <cellStyle name="_신태백(가실행)_1_합덕-신례원(2공구)투찰_왜관-태평건설" xfId="516"/>
    <cellStyle name="_신태백(가실행)_1_합덕-신례원(2공구)투찰_합덕-신례원(2공구)투찰" xfId="517"/>
    <cellStyle name="_신태백(가실행)_1_합덕-신례원(2공구)투찰_합덕-신례원(2공구)투찰_경찰서-터미널간도로(투찰)②" xfId="518"/>
    <cellStyle name="_신태백(가실행)_1_합덕-신례원(2공구)투찰_합덕-신례원(2공구)투찰_경찰서-터미널간도로(투찰)②_마현생창(동양고속)" xfId="519"/>
    <cellStyle name="_신태백(가실행)_1_합덕-신례원(2공구)투찰_합덕-신례원(2공구)투찰_경찰서-터미널간도로(투찰)②_마현생창(동양고속)_왜관-태평건설" xfId="520"/>
    <cellStyle name="_신태백(가실행)_1_합덕-신례원(2공구)투찰_합덕-신례원(2공구)투찰_경찰서-터미널간도로(투찰)②_왜관-태평건설" xfId="521"/>
    <cellStyle name="_신태백(가실행)_1_합덕-신례원(2공구)투찰_합덕-신례원(2공구)투찰_마현생창(동양고속)" xfId="522"/>
    <cellStyle name="_신태백(가실행)_1_합덕-신례원(2공구)투찰_합덕-신례원(2공구)투찰_마현생창(동양고속)_왜관-태평건설" xfId="523"/>
    <cellStyle name="_신태백(가실행)_1_합덕-신례원(2공구)투찰_합덕-신례원(2공구)투찰_봉무지방산업단지도로(투찰)②" xfId="524"/>
    <cellStyle name="_신태백(가실행)_1_합덕-신례원(2공구)투찰_합덕-신례원(2공구)투찰_봉무지방산업단지도로(투찰)②_마현생창(동양고속)" xfId="525"/>
    <cellStyle name="_신태백(가실행)_1_합덕-신례원(2공구)투찰_합덕-신례원(2공구)투찰_봉무지방산업단지도로(투찰)②_마현생창(동양고속)_왜관-태평건설" xfId="526"/>
    <cellStyle name="_신태백(가실행)_1_합덕-신례원(2공구)투찰_합덕-신례원(2공구)투찰_봉무지방산업단지도로(투찰)②_왜관-태평건설" xfId="527"/>
    <cellStyle name="_신태백(가실행)_1_합덕-신례원(2공구)투찰_합덕-신례원(2공구)투찰_봉무지방산업단지도로(투찰)②+0.250%" xfId="528"/>
    <cellStyle name="_신태백(가실행)_1_합덕-신례원(2공구)투찰_합덕-신례원(2공구)투찰_봉무지방산업단지도로(투찰)②+0.250%_마현생창(동양고속)" xfId="529"/>
    <cellStyle name="_신태백(가실행)_1_합덕-신례원(2공구)투찰_합덕-신례원(2공구)투찰_봉무지방산업단지도로(투찰)②+0.250%_마현생창(동양고속)_왜관-태평건설" xfId="530"/>
    <cellStyle name="_신태백(가실행)_1_합덕-신례원(2공구)투찰_합덕-신례원(2공구)투찰_봉무지방산업단지도로(투찰)②+0.250%_왜관-태평건설" xfId="531"/>
    <cellStyle name="_신태백(가실행)_1_합덕-신례원(2공구)투찰_합덕-신례원(2공구)투찰_왜관-태평건설" xfId="532"/>
    <cellStyle name="_신태백(가실행)_경찰서-터미널간도로(투찰)②" xfId="533"/>
    <cellStyle name="_신태백(가실행)_경찰서-터미널간도로(투찰)②_마현생창(동양고속)" xfId="534"/>
    <cellStyle name="_신태백(가실행)_경찰서-터미널간도로(투찰)②_마현생창(동양고속)_왜관-태평건설" xfId="535"/>
    <cellStyle name="_신태백(가실행)_경찰서-터미널간도로(투찰)②_왜관-태평건설" xfId="536"/>
    <cellStyle name="_신태백(가실행)_도덕-고흥도로(투찰)" xfId="537"/>
    <cellStyle name="_신태백(가실행)_도덕-고흥도로(투찰)_경찰서-터미널간도로(투찰)②" xfId="538"/>
    <cellStyle name="_신태백(가실행)_도덕-고흥도로(투찰)_경찰서-터미널간도로(투찰)②_마현생창(동양고속)" xfId="539"/>
    <cellStyle name="_신태백(가실행)_도덕-고흥도로(투찰)_경찰서-터미널간도로(투찰)②_마현생창(동양고속)_왜관-태평건설" xfId="540"/>
    <cellStyle name="_신태백(가실행)_도덕-고흥도로(투찰)_경찰서-터미널간도로(투찰)②_왜관-태평건설" xfId="541"/>
    <cellStyle name="_신태백(가실행)_도덕-고흥도로(투찰)_마현생창(동양고속)" xfId="542"/>
    <cellStyle name="_신태백(가실행)_도덕-고흥도로(투찰)_마현생창(동양고속)_왜관-태평건설" xfId="543"/>
    <cellStyle name="_신태백(가실행)_도덕-고흥도로(투찰)_봉무지방산업단지도로(투찰)②" xfId="544"/>
    <cellStyle name="_신태백(가실행)_도덕-고흥도로(투찰)_봉무지방산업단지도로(투찰)②_마현생창(동양고속)" xfId="545"/>
    <cellStyle name="_신태백(가실행)_도덕-고흥도로(투찰)_봉무지방산업단지도로(투찰)②_마현생창(동양고속)_왜관-태평건설" xfId="546"/>
    <cellStyle name="_신태백(가실행)_도덕-고흥도로(투찰)_봉무지방산업단지도로(투찰)②_왜관-태평건설" xfId="547"/>
    <cellStyle name="_신태백(가실행)_도덕-고흥도로(투찰)_봉무지방산업단지도로(투찰)②+0.250%" xfId="548"/>
    <cellStyle name="_신태백(가실행)_도덕-고흥도로(투찰)_봉무지방산업단지도로(투찰)②+0.250%_마현생창(동양고속)" xfId="549"/>
    <cellStyle name="_신태백(가실행)_도덕-고흥도로(투찰)_봉무지방산업단지도로(투찰)②+0.250%_마현생창(동양고속)_왜관-태평건설" xfId="550"/>
    <cellStyle name="_신태백(가실행)_도덕-고흥도로(투찰)_봉무지방산업단지도로(투찰)②+0.250%_왜관-태평건설" xfId="551"/>
    <cellStyle name="_신태백(가실행)_도덕-고흥도로(투찰)_왜관-태평건설" xfId="552"/>
    <cellStyle name="_신태백(가실행)_도덕-고흥도로(투찰)_합덕-신례원(2공구)투찰" xfId="553"/>
    <cellStyle name="_신태백(가실행)_도덕-고흥도로(투찰)_합덕-신례원(2공구)투찰_경찰서-터미널간도로(투찰)②" xfId="554"/>
    <cellStyle name="_신태백(가실행)_도덕-고흥도로(투찰)_합덕-신례원(2공구)투찰_경찰서-터미널간도로(투찰)②_마현생창(동양고속)" xfId="555"/>
    <cellStyle name="_신태백(가실행)_도덕-고흥도로(투찰)_합덕-신례원(2공구)투찰_경찰서-터미널간도로(투찰)②_마현생창(동양고속)_왜관-태평건설" xfId="556"/>
    <cellStyle name="_신태백(가실행)_도덕-고흥도로(투찰)_합덕-신례원(2공구)투찰_경찰서-터미널간도로(투찰)②_왜관-태평건설" xfId="557"/>
    <cellStyle name="_신태백(가실행)_도덕-고흥도로(투찰)_합덕-신례원(2공구)투찰_마현생창(동양고속)" xfId="558"/>
    <cellStyle name="_신태백(가실행)_도덕-고흥도로(투찰)_합덕-신례원(2공구)투찰_마현생창(동양고속)_왜관-태평건설" xfId="559"/>
    <cellStyle name="_신태백(가실행)_도덕-고흥도로(투찰)_합덕-신례원(2공구)투찰_봉무지방산업단지도로(투찰)②" xfId="560"/>
    <cellStyle name="_신태백(가실행)_도덕-고흥도로(투찰)_합덕-신례원(2공구)투찰_봉무지방산업단지도로(투찰)②_마현생창(동양고속)" xfId="561"/>
    <cellStyle name="_신태백(가실행)_도덕-고흥도로(투찰)_합덕-신례원(2공구)투찰_봉무지방산업단지도로(투찰)②_마현생창(동양고속)_왜관-태평건설" xfId="562"/>
    <cellStyle name="_신태백(가실행)_도덕-고흥도로(투찰)_합덕-신례원(2공구)투찰_봉무지방산업단지도로(투찰)②_왜관-태평건설" xfId="563"/>
    <cellStyle name="_신태백(가실행)_도덕-고흥도로(투찰)_합덕-신례원(2공구)투찰_봉무지방산업단지도로(투찰)②+0.250%" xfId="564"/>
    <cellStyle name="_신태백(가실행)_도덕-고흥도로(투찰)_합덕-신례원(2공구)투찰_봉무지방산업단지도로(투찰)②+0.250%_마현생창(동양고속)" xfId="565"/>
    <cellStyle name="_신태백(가실행)_도덕-고흥도로(투찰)_합덕-신례원(2공구)투찰_봉무지방산업단지도로(투찰)②+0.250%_마현생창(동양고속)_왜관-태평건설" xfId="566"/>
    <cellStyle name="_신태백(가실행)_도덕-고흥도로(투찰)_합덕-신례원(2공구)투찰_봉무지방산업단지도로(투찰)②+0.250%_왜관-태평건설" xfId="567"/>
    <cellStyle name="_신태백(가실행)_도덕-고흥도로(투찰)_합덕-신례원(2공구)투찰_왜관-태평건설" xfId="568"/>
    <cellStyle name="_신태백(가실행)_도덕-고흥도로(투찰)_합덕-신례원(2공구)투찰_합덕-신례원(2공구)투찰" xfId="569"/>
    <cellStyle name="_신태백(가실행)_도덕-고흥도로(투찰)_합덕-신례원(2공구)투찰_합덕-신례원(2공구)투찰_경찰서-터미널간도로(투찰)②" xfId="570"/>
    <cellStyle name="_신태백(가실행)_도덕-고흥도로(투찰)_합덕-신례원(2공구)투찰_합덕-신례원(2공구)투찰_경찰서-터미널간도로(투찰)②_마현생창(동양고속)" xfId="571"/>
    <cellStyle name="_신태백(가실행)_도덕-고흥도로(투찰)_합덕-신례원(2공구)투찰_합덕-신례원(2공구)투찰_경찰서-터미널간도로(투찰)②_마현생창(동양고속)_왜관-태평건설" xfId="572"/>
    <cellStyle name="_신태백(가실행)_도덕-고흥도로(투찰)_합덕-신례원(2공구)투찰_합덕-신례원(2공구)투찰_경찰서-터미널간도로(투찰)②_왜관-태평건설" xfId="573"/>
    <cellStyle name="_신태백(가실행)_도덕-고흥도로(투찰)_합덕-신례원(2공구)투찰_합덕-신례원(2공구)투찰_마현생창(동양고속)" xfId="574"/>
    <cellStyle name="_신태백(가실행)_도덕-고흥도로(투찰)_합덕-신례원(2공구)투찰_합덕-신례원(2공구)투찰_마현생창(동양고속)_왜관-태평건설" xfId="575"/>
    <cellStyle name="_신태백(가실행)_도덕-고흥도로(투찰)_합덕-신례원(2공구)투찰_합덕-신례원(2공구)투찰_봉무지방산업단지도로(투찰)②" xfId="576"/>
    <cellStyle name="_신태백(가실행)_도덕-고흥도로(투찰)_합덕-신례원(2공구)투찰_합덕-신례원(2공구)투찰_봉무지방산업단지도로(투찰)②_마현생창(동양고속)" xfId="577"/>
    <cellStyle name="_신태백(가실행)_도덕-고흥도로(투찰)_합덕-신례원(2공구)투찰_합덕-신례원(2공구)투찰_봉무지방산업단지도로(투찰)②_마현생창(동양고속)_왜관-태평건설" xfId="578"/>
    <cellStyle name="_신태백(가실행)_도덕-고흥도로(투찰)_합덕-신례원(2공구)투찰_합덕-신례원(2공구)투찰_봉무지방산업단지도로(투찰)②_왜관-태평건설" xfId="579"/>
    <cellStyle name="_신태백(가실행)_도덕-고흥도로(투찰)_합덕-신례원(2공구)투찰_합덕-신례원(2공구)투찰_봉무지방산업단지도로(투찰)②+0.250%" xfId="580"/>
    <cellStyle name="_신태백(가실행)_도덕-고흥도로(투찰)_합덕-신례원(2공구)투찰_합덕-신례원(2공구)투찰_봉무지방산업단지도로(투찰)②+0.250%_마현생창(동양고속)" xfId="581"/>
    <cellStyle name="_신태백(가실행)_도덕-고흥도로(투찰)_합덕-신례원(2공구)투찰_합덕-신례원(2공구)투찰_봉무지방산업단지도로(투찰)②+0.250%_마현생창(동양고속)_왜관-태평건설" xfId="582"/>
    <cellStyle name="_신태백(가실행)_도덕-고흥도로(투찰)_합덕-신례원(2공구)투찰_합덕-신례원(2공구)투찰_봉무지방산업단지도로(투찰)②+0.250%_왜관-태평건설" xfId="583"/>
    <cellStyle name="_신태백(가실행)_도덕-고흥도로(투찰)_합덕-신례원(2공구)투찰_합덕-신례원(2공구)투찰_왜관-태평건설" xfId="584"/>
    <cellStyle name="_신태백(가실행)_마현생창(동양고속)" xfId="585"/>
    <cellStyle name="_신태백(가실행)_마현생창(동양고속)_왜관-태평건설" xfId="586"/>
    <cellStyle name="_신태백(가실행)_봉무지방산업단지도로(투찰)②" xfId="587"/>
    <cellStyle name="_신태백(가실행)_봉무지방산업단지도로(투찰)②_마현생창(동양고속)" xfId="588"/>
    <cellStyle name="_신태백(가실행)_봉무지방산업단지도로(투찰)②_마현생창(동양고속)_왜관-태평건설" xfId="589"/>
    <cellStyle name="_신태백(가실행)_봉무지방산업단지도로(투찰)②_왜관-태평건설" xfId="590"/>
    <cellStyle name="_신태백(가실행)_봉무지방산업단지도로(투찰)②+0.250%" xfId="591"/>
    <cellStyle name="_신태백(가실행)_봉무지방산업단지도로(투찰)②+0.250%_마현생창(동양고속)" xfId="592"/>
    <cellStyle name="_신태백(가실행)_봉무지방산업단지도로(투찰)②+0.250%_마현생창(동양고속)_왜관-태평건설" xfId="593"/>
    <cellStyle name="_신태백(가실행)_봉무지방산업단지도로(투찰)②+0.250%_왜관-태평건설" xfId="594"/>
    <cellStyle name="_신태백(가실행)_안산부대(투찰)⑤" xfId="595"/>
    <cellStyle name="_신태백(가실행)_안산부대(투찰)⑤_경찰서-터미널간도로(투찰)②" xfId="596"/>
    <cellStyle name="_신태백(가실행)_안산부대(투찰)⑤_경찰서-터미널간도로(투찰)②_마현생창(동양고속)" xfId="597"/>
    <cellStyle name="_신태백(가실행)_안산부대(투찰)⑤_경찰서-터미널간도로(투찰)②_마현생창(동양고속)_왜관-태평건설" xfId="598"/>
    <cellStyle name="_신태백(가실행)_안산부대(투찰)⑤_경찰서-터미널간도로(투찰)②_왜관-태평건설" xfId="599"/>
    <cellStyle name="_신태백(가실행)_안산부대(투찰)⑤_마현생창(동양고속)" xfId="600"/>
    <cellStyle name="_신태백(가실행)_안산부대(투찰)⑤_마현생창(동양고속)_왜관-태평건설" xfId="601"/>
    <cellStyle name="_신태백(가실행)_안산부대(투찰)⑤_봉무지방산업단지도로(투찰)②" xfId="602"/>
    <cellStyle name="_신태백(가실행)_안산부대(투찰)⑤_봉무지방산업단지도로(투찰)②_마현생창(동양고속)" xfId="603"/>
    <cellStyle name="_신태백(가실행)_안산부대(투찰)⑤_봉무지방산업단지도로(투찰)②_마현생창(동양고속)_왜관-태평건설" xfId="604"/>
    <cellStyle name="_신태백(가실행)_안산부대(투찰)⑤_봉무지방산업단지도로(투찰)②_왜관-태평건설" xfId="605"/>
    <cellStyle name="_신태백(가실행)_안산부대(투찰)⑤_봉무지방산업단지도로(투찰)②+0.250%" xfId="606"/>
    <cellStyle name="_신태백(가실행)_안산부대(투찰)⑤_봉무지방산업단지도로(투찰)②+0.250%_마현생창(동양고속)" xfId="607"/>
    <cellStyle name="_신태백(가실행)_안산부대(투찰)⑤_봉무지방산업단지도로(투찰)②+0.250%_마현생창(동양고속)_왜관-태평건설" xfId="608"/>
    <cellStyle name="_신태백(가실행)_안산부대(투찰)⑤_봉무지방산업단지도로(투찰)②+0.250%_왜관-태평건설" xfId="609"/>
    <cellStyle name="_신태백(가실행)_안산부대(투찰)⑤_왜관-태평건설" xfId="610"/>
    <cellStyle name="_신태백(가실행)_안산부대(투찰)⑤_합덕-신례원(2공구)투찰" xfId="611"/>
    <cellStyle name="_신태백(가실행)_안산부대(투찰)⑤_합덕-신례원(2공구)투찰_경찰서-터미널간도로(투찰)②" xfId="612"/>
    <cellStyle name="_신태백(가실행)_안산부대(투찰)⑤_합덕-신례원(2공구)투찰_경찰서-터미널간도로(투찰)②_마현생창(동양고속)" xfId="613"/>
    <cellStyle name="_신태백(가실행)_안산부대(투찰)⑤_합덕-신례원(2공구)투찰_경찰서-터미널간도로(투찰)②_마현생창(동양고속)_왜관-태평건설" xfId="614"/>
    <cellStyle name="_신태백(가실행)_안산부대(투찰)⑤_합덕-신례원(2공구)투찰_경찰서-터미널간도로(투찰)②_왜관-태평건설" xfId="615"/>
    <cellStyle name="_신태백(가실행)_안산부대(투찰)⑤_합덕-신례원(2공구)투찰_마현생창(동양고속)" xfId="616"/>
    <cellStyle name="_신태백(가실행)_안산부대(투찰)⑤_합덕-신례원(2공구)투찰_마현생창(동양고속)_왜관-태평건설" xfId="617"/>
    <cellStyle name="_신태백(가실행)_안산부대(투찰)⑤_합덕-신례원(2공구)투찰_봉무지방산업단지도로(투찰)②" xfId="618"/>
    <cellStyle name="_신태백(가실행)_안산부대(투찰)⑤_합덕-신례원(2공구)투찰_봉무지방산업단지도로(투찰)②_마현생창(동양고속)" xfId="619"/>
    <cellStyle name="_신태백(가실행)_안산부대(투찰)⑤_합덕-신례원(2공구)투찰_봉무지방산업단지도로(투찰)②_마현생창(동양고속)_왜관-태평건설" xfId="620"/>
    <cellStyle name="_신태백(가실행)_안산부대(투찰)⑤_합덕-신례원(2공구)투찰_봉무지방산업단지도로(투찰)②_왜관-태평건설" xfId="621"/>
    <cellStyle name="_신태백(가실행)_안산부대(투찰)⑤_합덕-신례원(2공구)투찰_봉무지방산업단지도로(투찰)②+0.250%" xfId="622"/>
    <cellStyle name="_신태백(가실행)_안산부대(투찰)⑤_합덕-신례원(2공구)투찰_봉무지방산업단지도로(투찰)②+0.250%_마현생창(동양고속)" xfId="623"/>
    <cellStyle name="_신태백(가실행)_안산부대(투찰)⑤_합덕-신례원(2공구)투찰_봉무지방산업단지도로(투찰)②+0.250%_마현생창(동양고속)_왜관-태평건설" xfId="624"/>
    <cellStyle name="_신태백(가실행)_안산부대(투찰)⑤_합덕-신례원(2공구)투찰_봉무지방산업단지도로(투찰)②+0.250%_왜관-태평건설" xfId="625"/>
    <cellStyle name="_신태백(가실행)_안산부대(투찰)⑤_합덕-신례원(2공구)투찰_왜관-태평건설" xfId="626"/>
    <cellStyle name="_신태백(가실행)_안산부대(투찰)⑤_합덕-신례원(2공구)투찰_합덕-신례원(2공구)투찰" xfId="627"/>
    <cellStyle name="_신태백(가실행)_안산부대(투찰)⑤_합덕-신례원(2공구)투찰_합덕-신례원(2공구)투찰_경찰서-터미널간도로(투찰)②" xfId="628"/>
    <cellStyle name="_신태백(가실행)_안산부대(투찰)⑤_합덕-신례원(2공구)투찰_합덕-신례원(2공구)투찰_경찰서-터미널간도로(투찰)②_마현생창(동양고속)" xfId="629"/>
    <cellStyle name="_신태백(가실행)_안산부대(투찰)⑤_합덕-신례원(2공구)투찰_합덕-신례원(2공구)투찰_경찰서-터미널간도로(투찰)②_마현생창(동양고속)_왜관-태평건설" xfId="630"/>
    <cellStyle name="_신태백(가실행)_안산부대(투찰)⑤_합덕-신례원(2공구)투찰_합덕-신례원(2공구)투찰_경찰서-터미널간도로(투찰)②_왜관-태평건설" xfId="631"/>
    <cellStyle name="_신태백(가실행)_안산부대(투찰)⑤_합덕-신례원(2공구)투찰_합덕-신례원(2공구)투찰_마현생창(동양고속)" xfId="632"/>
    <cellStyle name="_신태백(가실행)_안산부대(투찰)⑤_합덕-신례원(2공구)투찰_합덕-신례원(2공구)투찰_마현생창(동양고속)_왜관-태평건설" xfId="633"/>
    <cellStyle name="_신태백(가실행)_안산부대(투찰)⑤_합덕-신례원(2공구)투찰_합덕-신례원(2공구)투찰_봉무지방산업단지도로(투찰)②" xfId="634"/>
    <cellStyle name="_신태백(가실행)_안산부대(투찰)⑤_합덕-신례원(2공구)투찰_합덕-신례원(2공구)투찰_봉무지방산업단지도로(투찰)②_마현생창(동양고속)" xfId="635"/>
    <cellStyle name="_신태백(가실행)_안산부대(투찰)⑤_합덕-신례원(2공구)투찰_합덕-신례원(2공구)투찰_봉무지방산업단지도로(투찰)②_마현생창(동양고속)_왜관-태평건설" xfId="636"/>
    <cellStyle name="_신태백(가실행)_안산부대(투찰)⑤_합덕-신례원(2공구)투찰_합덕-신례원(2공구)투찰_봉무지방산업단지도로(투찰)②_왜관-태평건설" xfId="637"/>
    <cellStyle name="_신태백(가실행)_안산부대(투찰)⑤_합덕-신례원(2공구)투찰_합덕-신례원(2공구)투찰_봉무지방산업단지도로(투찰)②+0.250%" xfId="638"/>
    <cellStyle name="_신태백(가실행)_안산부대(투찰)⑤_합덕-신례원(2공구)투찰_합덕-신례원(2공구)투찰_봉무지방산업단지도로(투찰)②+0.250%_마현생창(동양고속)" xfId="639"/>
    <cellStyle name="_신태백(가실행)_안산부대(투찰)⑤_합덕-신례원(2공구)투찰_합덕-신례원(2공구)투찰_봉무지방산업단지도로(투찰)②+0.250%_마현생창(동양고속)_왜관-태평건설" xfId="640"/>
    <cellStyle name="_신태백(가실행)_안산부대(투찰)⑤_합덕-신례원(2공구)투찰_합덕-신례원(2공구)투찰_봉무지방산업단지도로(투찰)②+0.250%_왜관-태평건설" xfId="641"/>
    <cellStyle name="_신태백(가실행)_안산부대(투찰)⑤_합덕-신례원(2공구)투찰_합덕-신례원(2공구)투찰_왜관-태평건설" xfId="642"/>
    <cellStyle name="_신태백(가실행)_양곡부두(투찰)-0.31%" xfId="643"/>
    <cellStyle name="_신태백(가실행)_양곡부두(투찰)-0.31%_경찰서-터미널간도로(투찰)②" xfId="644"/>
    <cellStyle name="_신태백(가실행)_양곡부두(투찰)-0.31%_경찰서-터미널간도로(투찰)②_마현생창(동양고속)" xfId="645"/>
    <cellStyle name="_신태백(가실행)_양곡부두(투찰)-0.31%_경찰서-터미널간도로(투찰)②_마현생창(동양고속)_왜관-태평건설" xfId="646"/>
    <cellStyle name="_신태백(가실행)_양곡부두(투찰)-0.31%_경찰서-터미널간도로(투찰)②_왜관-태평건설" xfId="647"/>
    <cellStyle name="_신태백(가실행)_양곡부두(투찰)-0.31%_마현생창(동양고속)" xfId="648"/>
    <cellStyle name="_신태백(가실행)_양곡부두(투찰)-0.31%_마현생창(동양고속)_왜관-태평건설" xfId="649"/>
    <cellStyle name="_신태백(가실행)_양곡부두(투찰)-0.31%_봉무지방산업단지도로(투찰)②" xfId="650"/>
    <cellStyle name="_신태백(가실행)_양곡부두(투찰)-0.31%_봉무지방산업단지도로(투찰)②_마현생창(동양고속)" xfId="651"/>
    <cellStyle name="_신태백(가실행)_양곡부두(투찰)-0.31%_봉무지방산업단지도로(투찰)②_마현생창(동양고속)_왜관-태평건설" xfId="652"/>
    <cellStyle name="_신태백(가실행)_양곡부두(투찰)-0.31%_봉무지방산업단지도로(투찰)②_왜관-태평건설" xfId="653"/>
    <cellStyle name="_신태백(가실행)_양곡부두(투찰)-0.31%_봉무지방산업단지도로(투찰)②+0.250%" xfId="654"/>
    <cellStyle name="_신태백(가실행)_양곡부두(투찰)-0.31%_봉무지방산업단지도로(투찰)②+0.250%_마현생창(동양고속)" xfId="655"/>
    <cellStyle name="_신태백(가실행)_양곡부두(투찰)-0.31%_봉무지방산업단지도로(투찰)②+0.250%_마현생창(동양고속)_왜관-태평건설" xfId="656"/>
    <cellStyle name="_신태백(가실행)_양곡부두(투찰)-0.31%_봉무지방산업단지도로(투찰)②+0.250%_왜관-태평건설" xfId="657"/>
    <cellStyle name="_신태백(가실행)_양곡부두(투찰)-0.31%_왜관-태평건설" xfId="658"/>
    <cellStyle name="_신태백(가실행)_양곡부두(투찰)-0.31%_합덕-신례원(2공구)투찰" xfId="659"/>
    <cellStyle name="_신태백(가실행)_양곡부두(투찰)-0.31%_합덕-신례원(2공구)투찰_경찰서-터미널간도로(투찰)②" xfId="660"/>
    <cellStyle name="_신태백(가실행)_양곡부두(투찰)-0.31%_합덕-신례원(2공구)투찰_경찰서-터미널간도로(투찰)②_마현생창(동양고속)" xfId="661"/>
    <cellStyle name="_신태백(가실행)_양곡부두(투찰)-0.31%_합덕-신례원(2공구)투찰_경찰서-터미널간도로(투찰)②_마현생창(동양고속)_왜관-태평건설" xfId="662"/>
    <cellStyle name="_신태백(가실행)_양곡부두(투찰)-0.31%_합덕-신례원(2공구)투찰_경찰서-터미널간도로(투찰)②_왜관-태평건설" xfId="663"/>
    <cellStyle name="_신태백(가실행)_양곡부두(투찰)-0.31%_합덕-신례원(2공구)투찰_마현생창(동양고속)" xfId="664"/>
    <cellStyle name="_신태백(가실행)_양곡부두(투찰)-0.31%_합덕-신례원(2공구)투찰_마현생창(동양고속)_왜관-태평건설" xfId="665"/>
    <cellStyle name="_신태백(가실행)_양곡부두(투찰)-0.31%_합덕-신례원(2공구)투찰_봉무지방산업단지도로(투찰)②" xfId="666"/>
    <cellStyle name="_신태백(가실행)_양곡부두(투찰)-0.31%_합덕-신례원(2공구)투찰_봉무지방산업단지도로(투찰)②_마현생창(동양고속)" xfId="667"/>
    <cellStyle name="_신태백(가실행)_양곡부두(투찰)-0.31%_합덕-신례원(2공구)투찰_봉무지방산업단지도로(투찰)②_마현생창(동양고속)_왜관-태평건설" xfId="668"/>
    <cellStyle name="_신태백(가실행)_양곡부두(투찰)-0.31%_합덕-신례원(2공구)투찰_봉무지방산업단지도로(투찰)②_왜관-태평건설" xfId="669"/>
    <cellStyle name="_신태백(가실행)_양곡부두(투찰)-0.31%_합덕-신례원(2공구)투찰_봉무지방산업단지도로(투찰)②+0.250%" xfId="670"/>
    <cellStyle name="_신태백(가실행)_양곡부두(투찰)-0.31%_합덕-신례원(2공구)투찰_봉무지방산업단지도로(투찰)②+0.250%_마현생창(동양고속)" xfId="671"/>
    <cellStyle name="_신태백(가실행)_양곡부두(투찰)-0.31%_합덕-신례원(2공구)투찰_봉무지방산업단지도로(투찰)②+0.250%_마현생창(동양고속)_왜관-태평건설" xfId="672"/>
    <cellStyle name="_신태백(가실행)_양곡부두(투찰)-0.31%_합덕-신례원(2공구)투찰_봉무지방산업단지도로(투찰)②+0.250%_왜관-태평건설" xfId="673"/>
    <cellStyle name="_신태백(가실행)_양곡부두(투찰)-0.31%_합덕-신례원(2공구)투찰_왜관-태평건설" xfId="674"/>
    <cellStyle name="_신태백(가실행)_양곡부두(투찰)-0.31%_합덕-신례원(2공구)투찰_합덕-신례원(2공구)투찰" xfId="675"/>
    <cellStyle name="_신태백(가실행)_양곡부두(투찰)-0.31%_합덕-신례원(2공구)투찰_합덕-신례원(2공구)투찰_경찰서-터미널간도로(투찰)②" xfId="676"/>
    <cellStyle name="_신태백(가실행)_양곡부두(투찰)-0.31%_합덕-신례원(2공구)투찰_합덕-신례원(2공구)투찰_경찰서-터미널간도로(투찰)②_마현생창(동양고속)" xfId="677"/>
    <cellStyle name="_신태백(가실행)_양곡부두(투찰)-0.31%_합덕-신례원(2공구)투찰_합덕-신례원(2공구)투찰_경찰서-터미널간도로(투찰)②_마현생창(동양고속)_왜관-태평건설" xfId="678"/>
    <cellStyle name="_신태백(가실행)_양곡부두(투찰)-0.31%_합덕-신례원(2공구)투찰_합덕-신례원(2공구)투찰_경찰서-터미널간도로(투찰)②_왜관-태평건설" xfId="679"/>
    <cellStyle name="_신태백(가실행)_양곡부두(투찰)-0.31%_합덕-신례원(2공구)투찰_합덕-신례원(2공구)투찰_마현생창(동양고속)" xfId="680"/>
    <cellStyle name="_신태백(가실행)_양곡부두(투찰)-0.31%_합덕-신례원(2공구)투찰_합덕-신례원(2공구)투찰_마현생창(동양고속)_왜관-태평건설" xfId="681"/>
    <cellStyle name="_신태백(가실행)_양곡부두(투찰)-0.31%_합덕-신례원(2공구)투찰_합덕-신례원(2공구)투찰_봉무지방산업단지도로(투찰)②" xfId="682"/>
    <cellStyle name="_신태백(가실행)_양곡부두(투찰)-0.31%_합덕-신례원(2공구)투찰_합덕-신례원(2공구)투찰_봉무지방산업단지도로(투찰)②_마현생창(동양고속)" xfId="683"/>
    <cellStyle name="_신태백(가실행)_양곡부두(투찰)-0.31%_합덕-신례원(2공구)투찰_합덕-신례원(2공구)투찰_봉무지방산업단지도로(투찰)②_마현생창(동양고속)_왜관-태평건설" xfId="684"/>
    <cellStyle name="_신태백(가실행)_양곡부두(투찰)-0.31%_합덕-신례원(2공구)투찰_합덕-신례원(2공구)투찰_봉무지방산업단지도로(투찰)②_왜관-태평건설" xfId="685"/>
    <cellStyle name="_신태백(가실행)_양곡부두(투찰)-0.31%_합덕-신례원(2공구)투찰_합덕-신례원(2공구)투찰_봉무지방산업단지도로(투찰)②+0.250%" xfId="686"/>
    <cellStyle name="_신태백(가실행)_양곡부두(투찰)-0.31%_합덕-신례원(2공구)투찰_합덕-신례원(2공구)투찰_봉무지방산업단지도로(투찰)②+0.250%_마현생창(동양고속)" xfId="687"/>
    <cellStyle name="_신태백(가실행)_양곡부두(투찰)-0.31%_합덕-신례원(2공구)투찰_합덕-신례원(2공구)투찰_봉무지방산업단지도로(투찰)②+0.250%_마현생창(동양고속)_왜관-태평건설" xfId="688"/>
    <cellStyle name="_신태백(가실행)_양곡부두(투찰)-0.31%_합덕-신례원(2공구)투찰_합덕-신례원(2공구)투찰_봉무지방산업단지도로(투찰)②+0.250%_왜관-태평건설" xfId="689"/>
    <cellStyle name="_신태백(가실행)_양곡부두(투찰)-0.31%_합덕-신례원(2공구)투찰_합덕-신례원(2공구)투찰_왜관-태평건설" xfId="690"/>
    <cellStyle name="_신태백(가실행)_왜관-태평건설" xfId="691"/>
    <cellStyle name="_신태백(가실행)_창원상수도(토목)투찰" xfId="692"/>
    <cellStyle name="_신태백(가실행)_창원상수도(토목)투찰_경찰서-터미널간도로(투찰)②" xfId="693"/>
    <cellStyle name="_신태백(가실행)_창원상수도(토목)투찰_경찰서-터미널간도로(투찰)②_마현생창(동양고속)" xfId="694"/>
    <cellStyle name="_신태백(가실행)_창원상수도(토목)투찰_경찰서-터미널간도로(투찰)②_마현생창(동양고속)_왜관-태평건설" xfId="695"/>
    <cellStyle name="_신태백(가실행)_창원상수도(토목)투찰_경찰서-터미널간도로(투찰)②_왜관-태평건설" xfId="696"/>
    <cellStyle name="_신태백(가실행)_창원상수도(토목)투찰_마현생창(동양고속)" xfId="697"/>
    <cellStyle name="_신태백(가실행)_창원상수도(토목)투찰_마현생창(동양고속)_왜관-태평건설" xfId="698"/>
    <cellStyle name="_신태백(가실행)_창원상수도(토목)투찰_봉무지방산업단지도로(투찰)②" xfId="699"/>
    <cellStyle name="_신태백(가실행)_창원상수도(토목)투찰_봉무지방산업단지도로(투찰)②_마현생창(동양고속)" xfId="700"/>
    <cellStyle name="_신태백(가실행)_창원상수도(토목)투찰_봉무지방산업단지도로(투찰)②_마현생창(동양고속)_왜관-태평건설" xfId="701"/>
    <cellStyle name="_신태백(가실행)_창원상수도(토목)투찰_봉무지방산업단지도로(투찰)②_왜관-태평건설" xfId="702"/>
    <cellStyle name="_신태백(가실행)_창원상수도(토목)투찰_봉무지방산업단지도로(투찰)②+0.250%" xfId="703"/>
    <cellStyle name="_신태백(가실행)_창원상수도(토목)투찰_봉무지방산업단지도로(투찰)②+0.250%_마현생창(동양고속)" xfId="704"/>
    <cellStyle name="_신태백(가실행)_창원상수도(토목)투찰_봉무지방산업단지도로(투찰)②+0.250%_마현생창(동양고속)_왜관-태평건설" xfId="705"/>
    <cellStyle name="_신태백(가실행)_창원상수도(토목)투찰_봉무지방산업단지도로(투찰)②+0.250%_왜관-태평건설" xfId="706"/>
    <cellStyle name="_신태백(가실행)_창원상수도(토목)투찰_왜관-태평건설" xfId="707"/>
    <cellStyle name="_신태백(가실행)_창원상수도(토목)투찰_합덕-신례원(2공구)투찰" xfId="708"/>
    <cellStyle name="_신태백(가실행)_창원상수도(토목)투찰_합덕-신례원(2공구)투찰_경찰서-터미널간도로(투찰)②" xfId="709"/>
    <cellStyle name="_신태백(가실행)_창원상수도(토목)투찰_합덕-신례원(2공구)투찰_경찰서-터미널간도로(투찰)②_마현생창(동양고속)" xfId="710"/>
    <cellStyle name="_신태백(가실행)_창원상수도(토목)투찰_합덕-신례원(2공구)투찰_경찰서-터미널간도로(투찰)②_마현생창(동양고속)_왜관-태평건설" xfId="711"/>
    <cellStyle name="_신태백(가실행)_창원상수도(토목)투찰_합덕-신례원(2공구)투찰_경찰서-터미널간도로(투찰)②_왜관-태평건설" xfId="712"/>
    <cellStyle name="_신태백(가실행)_창원상수도(토목)투찰_합덕-신례원(2공구)투찰_마현생창(동양고속)" xfId="713"/>
    <cellStyle name="_신태백(가실행)_창원상수도(토목)투찰_합덕-신례원(2공구)투찰_마현생창(동양고속)_왜관-태평건설" xfId="714"/>
    <cellStyle name="_신태백(가실행)_창원상수도(토목)투찰_합덕-신례원(2공구)투찰_봉무지방산업단지도로(투찰)②" xfId="715"/>
    <cellStyle name="_신태백(가실행)_창원상수도(토목)투찰_합덕-신례원(2공구)투찰_봉무지방산업단지도로(투찰)②_마현생창(동양고속)" xfId="716"/>
    <cellStyle name="_신태백(가실행)_창원상수도(토목)투찰_합덕-신례원(2공구)투찰_봉무지방산업단지도로(투찰)②_마현생창(동양고속)_왜관-태평건설" xfId="717"/>
    <cellStyle name="_신태백(가실행)_창원상수도(토목)투찰_합덕-신례원(2공구)투찰_봉무지방산업단지도로(투찰)②_왜관-태평건설" xfId="718"/>
    <cellStyle name="_신태백(가실행)_창원상수도(토목)투찰_합덕-신례원(2공구)투찰_봉무지방산업단지도로(투찰)②+0.250%" xfId="719"/>
    <cellStyle name="_신태백(가실행)_창원상수도(토목)투찰_합덕-신례원(2공구)투찰_봉무지방산업단지도로(투찰)②+0.250%_마현생창(동양고속)" xfId="720"/>
    <cellStyle name="_신태백(가실행)_창원상수도(토목)투찰_합덕-신례원(2공구)투찰_봉무지방산업단지도로(투찰)②+0.250%_마현생창(동양고속)_왜관-태평건설" xfId="721"/>
    <cellStyle name="_신태백(가실행)_창원상수도(토목)투찰_합덕-신례원(2공구)투찰_봉무지방산업단지도로(투찰)②+0.250%_왜관-태평건설" xfId="722"/>
    <cellStyle name="_신태백(가실행)_창원상수도(토목)투찰_합덕-신례원(2공구)투찰_왜관-태평건설" xfId="723"/>
    <cellStyle name="_신태백(가실행)_창원상수도(토목)투찰_합덕-신례원(2공구)투찰_합덕-신례원(2공구)투찰" xfId="724"/>
    <cellStyle name="_신태백(가실행)_창원상수도(토목)투찰_합덕-신례원(2공구)투찰_합덕-신례원(2공구)투찰_경찰서-터미널간도로(투찰)②" xfId="725"/>
    <cellStyle name="_신태백(가실행)_창원상수도(토목)투찰_합덕-신례원(2공구)투찰_합덕-신례원(2공구)투찰_경찰서-터미널간도로(투찰)②_마현생창(동양고속)" xfId="726"/>
    <cellStyle name="_신태백(가실행)_창원상수도(토목)투찰_합덕-신례원(2공구)투찰_합덕-신례원(2공구)투찰_경찰서-터미널간도로(투찰)②_마현생창(동양고속)_왜관-태평건설" xfId="727"/>
    <cellStyle name="_신태백(가실행)_창원상수도(토목)투찰_합덕-신례원(2공구)투찰_합덕-신례원(2공구)투찰_경찰서-터미널간도로(투찰)②_왜관-태평건설" xfId="728"/>
    <cellStyle name="_신태백(가실행)_창원상수도(토목)투찰_합덕-신례원(2공구)투찰_합덕-신례원(2공구)투찰_마현생창(동양고속)" xfId="729"/>
    <cellStyle name="_신태백(가실행)_창원상수도(토목)투찰_합덕-신례원(2공구)투찰_합덕-신례원(2공구)투찰_마현생창(동양고속)_왜관-태평건설" xfId="730"/>
    <cellStyle name="_신태백(가실행)_창원상수도(토목)투찰_합덕-신례원(2공구)투찰_합덕-신례원(2공구)투찰_봉무지방산업단지도로(투찰)②" xfId="731"/>
    <cellStyle name="_신태백(가실행)_창원상수도(토목)투찰_합덕-신례원(2공구)투찰_합덕-신례원(2공구)투찰_봉무지방산업단지도로(투찰)②_마현생창(동양고속)" xfId="732"/>
    <cellStyle name="_신태백(가실행)_창원상수도(토목)투찰_합덕-신례원(2공구)투찰_합덕-신례원(2공구)투찰_봉무지방산업단지도로(투찰)②_마현생창(동양고속)_왜관-태평건설" xfId="733"/>
    <cellStyle name="_신태백(가실행)_창원상수도(토목)투찰_합덕-신례원(2공구)투찰_합덕-신례원(2공구)투찰_봉무지방산업단지도로(투찰)②_왜관-태평건설" xfId="734"/>
    <cellStyle name="_신태백(가실행)_창원상수도(토목)투찰_합덕-신례원(2공구)투찰_합덕-신례원(2공구)투찰_봉무지방산업단지도로(투찰)②+0.250%" xfId="735"/>
    <cellStyle name="_신태백(가실행)_창원상수도(토목)투찰_합덕-신례원(2공구)투찰_합덕-신례원(2공구)투찰_봉무지방산업단지도로(투찰)②+0.250%_마현생창(동양고속)" xfId="736"/>
    <cellStyle name="_신태백(가실행)_창원상수도(토목)투찰_합덕-신례원(2공구)투찰_합덕-신례원(2공구)투찰_봉무지방산업단지도로(투찰)②+0.250%_마현생창(동양고속)_왜관-태평건설" xfId="737"/>
    <cellStyle name="_신태백(가실행)_창원상수도(토목)투찰_합덕-신례원(2공구)투찰_합덕-신례원(2공구)투찰_봉무지방산업단지도로(투찰)②+0.250%_왜관-태평건설" xfId="738"/>
    <cellStyle name="_신태백(가실행)_창원상수도(토목)투찰_합덕-신례원(2공구)투찰_합덕-신례원(2공구)투찰_왜관-태평건설" xfId="739"/>
    <cellStyle name="_신태백(가실행)_합덕-신례원(2공구)투찰" xfId="740"/>
    <cellStyle name="_신태백(가실행)_합덕-신례원(2공구)투찰_경찰서-터미널간도로(투찰)②" xfId="741"/>
    <cellStyle name="_신태백(가실행)_합덕-신례원(2공구)투찰_경찰서-터미널간도로(투찰)②_마현생창(동양고속)" xfId="742"/>
    <cellStyle name="_신태백(가실행)_합덕-신례원(2공구)투찰_경찰서-터미널간도로(투찰)②_마현생창(동양고속)_왜관-태평건설" xfId="743"/>
    <cellStyle name="_신태백(가실행)_합덕-신례원(2공구)투찰_경찰서-터미널간도로(투찰)②_왜관-태평건설" xfId="744"/>
    <cellStyle name="_신태백(가실행)_합덕-신례원(2공구)투찰_마현생창(동양고속)" xfId="745"/>
    <cellStyle name="_신태백(가실행)_합덕-신례원(2공구)투찰_마현생창(동양고속)_왜관-태평건설" xfId="746"/>
    <cellStyle name="_신태백(가실행)_합덕-신례원(2공구)투찰_봉무지방산업단지도로(투찰)②" xfId="747"/>
    <cellStyle name="_신태백(가실행)_합덕-신례원(2공구)투찰_봉무지방산업단지도로(투찰)②_마현생창(동양고속)" xfId="748"/>
    <cellStyle name="_신태백(가실행)_합덕-신례원(2공구)투찰_봉무지방산업단지도로(투찰)②_마현생창(동양고속)_왜관-태평건설" xfId="749"/>
    <cellStyle name="_신태백(가실행)_합덕-신례원(2공구)투찰_봉무지방산업단지도로(투찰)②_왜관-태평건설" xfId="750"/>
    <cellStyle name="_신태백(가실행)_합덕-신례원(2공구)투찰_봉무지방산업단지도로(투찰)②+0.250%" xfId="751"/>
    <cellStyle name="_신태백(가실행)_합덕-신례원(2공구)투찰_봉무지방산업단지도로(투찰)②+0.250%_마현생창(동양고속)" xfId="752"/>
    <cellStyle name="_신태백(가실행)_합덕-신례원(2공구)투찰_봉무지방산업단지도로(투찰)②+0.250%_마현생창(동양고속)_왜관-태평건설" xfId="753"/>
    <cellStyle name="_신태백(가실행)_합덕-신례원(2공구)투찰_봉무지방산업단지도로(투찰)②+0.250%_왜관-태평건설" xfId="754"/>
    <cellStyle name="_신태백(가실행)_합덕-신례원(2공구)투찰_왜관-태평건설" xfId="755"/>
    <cellStyle name="_신태백(가실행)_합덕-신례원(2공구)투찰_합덕-신례원(2공구)투찰" xfId="756"/>
    <cellStyle name="_신태백(가실행)_합덕-신례원(2공구)투찰_합덕-신례원(2공구)투찰_경찰서-터미널간도로(투찰)②" xfId="757"/>
    <cellStyle name="_신태백(가실행)_합덕-신례원(2공구)투찰_합덕-신례원(2공구)투찰_경찰서-터미널간도로(투찰)②_마현생창(동양고속)" xfId="758"/>
    <cellStyle name="_신태백(가실행)_합덕-신례원(2공구)투찰_합덕-신례원(2공구)투찰_경찰서-터미널간도로(투찰)②_마현생창(동양고속)_왜관-태평건설" xfId="759"/>
    <cellStyle name="_신태백(가실행)_합덕-신례원(2공구)투찰_합덕-신례원(2공구)투찰_경찰서-터미널간도로(투찰)②_왜관-태평건설" xfId="760"/>
    <cellStyle name="_신태백(가실행)_합덕-신례원(2공구)투찰_합덕-신례원(2공구)투찰_마현생창(동양고속)" xfId="761"/>
    <cellStyle name="_신태백(가실행)_합덕-신례원(2공구)투찰_합덕-신례원(2공구)투찰_마현생창(동양고속)_왜관-태평건설" xfId="762"/>
    <cellStyle name="_신태백(가실행)_합덕-신례원(2공구)투찰_합덕-신례원(2공구)투찰_봉무지방산업단지도로(투찰)②" xfId="763"/>
    <cellStyle name="_신태백(가실행)_합덕-신례원(2공구)투찰_합덕-신례원(2공구)투찰_봉무지방산업단지도로(투찰)②_마현생창(동양고속)" xfId="764"/>
    <cellStyle name="_신태백(가실행)_합덕-신례원(2공구)투찰_합덕-신례원(2공구)투찰_봉무지방산업단지도로(투찰)②_마현생창(동양고속)_왜관-태평건설" xfId="765"/>
    <cellStyle name="_신태백(가실행)_합덕-신례원(2공구)투찰_합덕-신례원(2공구)투찰_봉무지방산업단지도로(투찰)②_왜관-태평건설" xfId="766"/>
    <cellStyle name="_신태백(가실행)_합덕-신례원(2공구)투찰_합덕-신례원(2공구)투찰_봉무지방산업단지도로(투찰)②+0.250%" xfId="767"/>
    <cellStyle name="_신태백(가실행)_합덕-신례원(2공구)투찰_합덕-신례원(2공구)투찰_봉무지방산업단지도로(투찰)②+0.250%_마현생창(동양고속)" xfId="768"/>
    <cellStyle name="_신태백(가실행)_합덕-신례원(2공구)투찰_합덕-신례원(2공구)투찰_봉무지방산업단지도로(투찰)②+0.250%_마현생창(동양고속)_왜관-태평건설" xfId="769"/>
    <cellStyle name="_신태백(가실행)_합덕-신례원(2공구)투찰_합덕-신례원(2공구)투찰_봉무지방산업단지도로(투찰)②+0.250%_왜관-태평건설" xfId="770"/>
    <cellStyle name="_신태백(가실행)_합덕-신례원(2공구)투찰_합덕-신례원(2공구)투찰_왜관-태평건설" xfId="771"/>
    <cellStyle name="_신태백(투찰내역)2" xfId="772"/>
    <cellStyle name="_실행예산" xfId="773"/>
    <cellStyle name="_안산부대(투찰)⑤" xfId="774"/>
    <cellStyle name="_안산부대(투찰)⑤_경찰서-터미널간도로(투찰)②" xfId="775"/>
    <cellStyle name="_안산부대(투찰)⑤_경찰서-터미널간도로(투찰)②_마현생창(동양고속)" xfId="776"/>
    <cellStyle name="_안산부대(투찰)⑤_경찰서-터미널간도로(투찰)②_마현생창(동양고속)_왜관-태평건설" xfId="777"/>
    <cellStyle name="_안산부대(투찰)⑤_경찰서-터미널간도로(투찰)②_왜관-태평건설" xfId="778"/>
    <cellStyle name="_안산부대(투찰)⑤_마현생창(동양고속)" xfId="779"/>
    <cellStyle name="_안산부대(투찰)⑤_마현생창(동양고속)_왜관-태평건설" xfId="780"/>
    <cellStyle name="_안산부대(투찰)⑤_봉무지방산업단지도로(투찰)②" xfId="781"/>
    <cellStyle name="_안산부대(투찰)⑤_봉무지방산업단지도로(투찰)②_마현생창(동양고속)" xfId="782"/>
    <cellStyle name="_안산부대(투찰)⑤_봉무지방산업단지도로(투찰)②_마현생창(동양고속)_왜관-태평건설" xfId="783"/>
    <cellStyle name="_안산부대(투찰)⑤_봉무지방산업단지도로(투찰)②_왜관-태평건설" xfId="784"/>
    <cellStyle name="_안산부대(투찰)⑤_봉무지방산업단지도로(투찰)②+0.250%" xfId="785"/>
    <cellStyle name="_안산부대(투찰)⑤_봉무지방산업단지도로(투찰)②+0.250%_마현생창(동양고속)" xfId="786"/>
    <cellStyle name="_안산부대(투찰)⑤_봉무지방산업단지도로(투찰)②+0.250%_마현생창(동양고속)_왜관-태평건설" xfId="787"/>
    <cellStyle name="_안산부대(투찰)⑤_봉무지방산업단지도로(투찰)②+0.250%_왜관-태평건설" xfId="788"/>
    <cellStyle name="_안산부대(투찰)⑤_왜관-태평건설" xfId="789"/>
    <cellStyle name="_안산부대(투찰)⑤_합덕-신례원(2공구)투찰" xfId="790"/>
    <cellStyle name="_안산부대(투찰)⑤_합덕-신례원(2공구)투찰_경찰서-터미널간도로(투찰)②" xfId="791"/>
    <cellStyle name="_안산부대(투찰)⑤_합덕-신례원(2공구)투찰_경찰서-터미널간도로(투찰)②_마현생창(동양고속)" xfId="792"/>
    <cellStyle name="_안산부대(투찰)⑤_합덕-신례원(2공구)투찰_경찰서-터미널간도로(투찰)②_마현생창(동양고속)_왜관-태평건설" xfId="793"/>
    <cellStyle name="_안산부대(투찰)⑤_합덕-신례원(2공구)투찰_경찰서-터미널간도로(투찰)②_왜관-태평건설" xfId="794"/>
    <cellStyle name="_안산부대(투찰)⑤_합덕-신례원(2공구)투찰_마현생창(동양고속)" xfId="795"/>
    <cellStyle name="_안산부대(투찰)⑤_합덕-신례원(2공구)투찰_마현생창(동양고속)_왜관-태평건설" xfId="796"/>
    <cellStyle name="_안산부대(투찰)⑤_합덕-신례원(2공구)투찰_봉무지방산업단지도로(투찰)②" xfId="797"/>
    <cellStyle name="_안산부대(투찰)⑤_합덕-신례원(2공구)투찰_봉무지방산업단지도로(투찰)②_마현생창(동양고속)" xfId="798"/>
    <cellStyle name="_안산부대(투찰)⑤_합덕-신례원(2공구)투찰_봉무지방산업단지도로(투찰)②_마현생창(동양고속)_왜관-태평건설" xfId="799"/>
    <cellStyle name="_안산부대(투찰)⑤_합덕-신례원(2공구)투찰_봉무지방산업단지도로(투찰)②_왜관-태평건설" xfId="800"/>
    <cellStyle name="_안산부대(투찰)⑤_합덕-신례원(2공구)투찰_봉무지방산업단지도로(투찰)②+0.250%" xfId="801"/>
    <cellStyle name="_안산부대(투찰)⑤_합덕-신례원(2공구)투찰_봉무지방산업단지도로(투찰)②+0.250%_마현생창(동양고속)" xfId="802"/>
    <cellStyle name="_안산부대(투찰)⑤_합덕-신례원(2공구)투찰_봉무지방산업단지도로(투찰)②+0.250%_마현생창(동양고속)_왜관-태평건설" xfId="803"/>
    <cellStyle name="_안산부대(투찰)⑤_합덕-신례원(2공구)투찰_봉무지방산업단지도로(투찰)②+0.250%_왜관-태평건설" xfId="804"/>
    <cellStyle name="_안산부대(투찰)⑤_합덕-신례원(2공구)투찰_왜관-태평건설" xfId="805"/>
    <cellStyle name="_안산부대(투찰)⑤_합덕-신례원(2공구)투찰_합덕-신례원(2공구)투찰" xfId="806"/>
    <cellStyle name="_안산부대(투찰)⑤_합덕-신례원(2공구)투찰_합덕-신례원(2공구)투찰_경찰서-터미널간도로(투찰)②" xfId="807"/>
    <cellStyle name="_안산부대(투찰)⑤_합덕-신례원(2공구)투찰_합덕-신례원(2공구)투찰_경찰서-터미널간도로(투찰)②_마현생창(동양고속)" xfId="808"/>
    <cellStyle name="_안산부대(투찰)⑤_합덕-신례원(2공구)투찰_합덕-신례원(2공구)투찰_경찰서-터미널간도로(투찰)②_마현생창(동양고속)_왜관-태평건설" xfId="809"/>
    <cellStyle name="_안산부대(투찰)⑤_합덕-신례원(2공구)투찰_합덕-신례원(2공구)투찰_경찰서-터미널간도로(투찰)②_왜관-태평건설" xfId="810"/>
    <cellStyle name="_안산부대(투찰)⑤_합덕-신례원(2공구)투찰_합덕-신례원(2공구)투찰_마현생창(동양고속)" xfId="811"/>
    <cellStyle name="_안산부대(투찰)⑤_합덕-신례원(2공구)투찰_합덕-신례원(2공구)투찰_마현생창(동양고속)_왜관-태평건설" xfId="812"/>
    <cellStyle name="_안산부대(투찰)⑤_합덕-신례원(2공구)투찰_합덕-신례원(2공구)투찰_봉무지방산업단지도로(투찰)②" xfId="813"/>
    <cellStyle name="_안산부대(투찰)⑤_합덕-신례원(2공구)투찰_합덕-신례원(2공구)투찰_봉무지방산업단지도로(투찰)②_마현생창(동양고속)" xfId="814"/>
    <cellStyle name="_안산부대(투찰)⑤_합덕-신례원(2공구)투찰_합덕-신례원(2공구)투찰_봉무지방산업단지도로(투찰)②_마현생창(동양고속)_왜관-태평건설" xfId="815"/>
    <cellStyle name="_안산부대(투찰)⑤_합덕-신례원(2공구)투찰_합덕-신례원(2공구)투찰_봉무지방산업단지도로(투찰)②_왜관-태평건설" xfId="816"/>
    <cellStyle name="_안산부대(투찰)⑤_합덕-신례원(2공구)투찰_합덕-신례원(2공구)투찰_봉무지방산업단지도로(투찰)②+0.250%" xfId="817"/>
    <cellStyle name="_안산부대(투찰)⑤_합덕-신례원(2공구)투찰_합덕-신례원(2공구)투찰_봉무지방산업단지도로(투찰)②+0.250%_마현생창(동양고속)" xfId="818"/>
    <cellStyle name="_안산부대(투찰)⑤_합덕-신례원(2공구)투찰_합덕-신례원(2공구)투찰_봉무지방산업단지도로(투찰)②+0.250%_마현생창(동양고속)_왜관-태평건설" xfId="819"/>
    <cellStyle name="_안산부대(투찰)⑤_합덕-신례원(2공구)투찰_합덕-신례원(2공구)투찰_봉무지방산업단지도로(투찰)②+0.250%_왜관-태평건설" xfId="820"/>
    <cellStyle name="_안산부대(투찰)⑤_합덕-신례원(2공구)투찰_합덕-신례원(2공구)투찰_왜관-태평건설" xfId="821"/>
    <cellStyle name="_양곡부두(투찰)+0.30%" xfId="822"/>
    <cellStyle name="_양양상수도공내역서" xfId="823"/>
    <cellStyle name="_우" xfId="824"/>
    <cellStyle name="_우_광주평동투찰" xfId="825"/>
    <cellStyle name="_우_광주평동품의1" xfId="826"/>
    <cellStyle name="_우_송학하수품의(설계넣고)" xfId="827"/>
    <cellStyle name="_우_우주센터투찰" xfId="828"/>
    <cellStyle name="_우_우주센터투찰_광주평동투찰" xfId="829"/>
    <cellStyle name="_우_우주센터투찰_광주평동품의1" xfId="830"/>
    <cellStyle name="_우_우주센터투찰_송학하수품의(설계넣고)" xfId="831"/>
    <cellStyle name="_우주센" xfId="832"/>
    <cellStyle name="_우주센_광주평동투찰" xfId="833"/>
    <cellStyle name="_우주센_광주평동품의1" xfId="834"/>
    <cellStyle name="_우주센_송학하수품의(설계넣고)" xfId="835"/>
    <cellStyle name="_우주센_우주센터투찰" xfId="836"/>
    <cellStyle name="_우주센_우주센터투찰_광주평동투찰" xfId="837"/>
    <cellStyle name="_우주센_우주센터투찰_광주평동품의1" xfId="838"/>
    <cellStyle name="_우주센_우주센터투찰_송학하수품의(설계넣고)" xfId="839"/>
    <cellStyle name="_유치투찰" xfId="840"/>
    <cellStyle name="_유치투찰_왜관-태평건설" xfId="841"/>
    <cellStyle name="_이양능주(2공구)bid전기" xfId="842"/>
    <cellStyle name="_인원계획표 " xfId="843"/>
    <cellStyle name="_인원계획표 _광주평동투찰" xfId="844"/>
    <cellStyle name="_인원계획표 _광주평동품의1" xfId="845"/>
    <cellStyle name="_인원계획표 _송학하수품의(설계넣고)" xfId="846"/>
    <cellStyle name="_인원계획표 _적격 " xfId="847"/>
    <cellStyle name="_인원계획표 _적격 _광주평동투찰" xfId="848"/>
    <cellStyle name="_인원계획표 _적격 _광주평동품의1" xfId="849"/>
    <cellStyle name="_인원계획표 _적격 _송학하수품의(설계넣고)" xfId="850"/>
    <cellStyle name="_입찰표지 " xfId="851"/>
    <cellStyle name="_입찰표지 _광주평동투찰" xfId="852"/>
    <cellStyle name="_입찰표지 _광주평동품의1" xfId="853"/>
    <cellStyle name="_입찰표지 _송학하수품의(설계넣고)" xfId="854"/>
    <cellStyle name="_장성IC투찰" xfId="855"/>
    <cellStyle name="_장성IC투찰_경찰서-터미널간도로(투찰)②" xfId="856"/>
    <cellStyle name="_장성IC투찰_경찰서-터미널간도로(투찰)②_마현생창(동양고속)" xfId="857"/>
    <cellStyle name="_장성IC투찰_경찰서-터미널간도로(투찰)②_마현생창(동양고속)_왜관-태평건설" xfId="858"/>
    <cellStyle name="_장성IC투찰_경찰서-터미널간도로(투찰)②_왜관-태평건설" xfId="859"/>
    <cellStyle name="_장성IC투찰_마현생창(동양고속)" xfId="860"/>
    <cellStyle name="_장성IC투찰_마현생창(동양고속)_왜관-태평건설" xfId="861"/>
    <cellStyle name="_장성IC투찰_봉무지방산업단지도로(투찰)②" xfId="862"/>
    <cellStyle name="_장성IC투찰_봉무지방산업단지도로(투찰)②_마현생창(동양고속)" xfId="863"/>
    <cellStyle name="_장성IC투찰_봉무지방산업단지도로(투찰)②_마현생창(동양고속)_왜관-태평건설" xfId="864"/>
    <cellStyle name="_장성IC투찰_봉무지방산업단지도로(투찰)②_왜관-태평건설" xfId="865"/>
    <cellStyle name="_장성IC투찰_봉무지방산업단지도로(투찰)②+0.250%" xfId="866"/>
    <cellStyle name="_장성IC투찰_봉무지방산업단지도로(투찰)②+0.250%_마현생창(동양고속)" xfId="867"/>
    <cellStyle name="_장성IC투찰_봉무지방산업단지도로(투찰)②+0.250%_마현생창(동양고속)_왜관-태평건설" xfId="868"/>
    <cellStyle name="_장성IC투찰_봉무지방산업단지도로(투찰)②+0.250%_왜관-태평건설" xfId="869"/>
    <cellStyle name="_장성IC투찰_왜관-태평건설" xfId="870"/>
    <cellStyle name="_장성IC투찰_합덕-신례원(2공구)투찰" xfId="871"/>
    <cellStyle name="_장성IC투찰_합덕-신례원(2공구)투찰_경찰서-터미널간도로(투찰)②" xfId="872"/>
    <cellStyle name="_장성IC투찰_합덕-신례원(2공구)투찰_경찰서-터미널간도로(투찰)②_마현생창(동양고속)" xfId="873"/>
    <cellStyle name="_장성IC투찰_합덕-신례원(2공구)투찰_경찰서-터미널간도로(투찰)②_마현생창(동양고속)_왜관-태평건설" xfId="874"/>
    <cellStyle name="_장성IC투찰_합덕-신례원(2공구)투찰_경찰서-터미널간도로(투찰)②_왜관-태평건설" xfId="875"/>
    <cellStyle name="_장성IC투찰_합덕-신례원(2공구)투찰_마현생창(동양고속)" xfId="876"/>
    <cellStyle name="_장성IC투찰_합덕-신례원(2공구)투찰_마현생창(동양고속)_왜관-태평건설" xfId="877"/>
    <cellStyle name="_장성IC투찰_합덕-신례원(2공구)투찰_봉무지방산업단지도로(투찰)②" xfId="878"/>
    <cellStyle name="_장성IC투찰_합덕-신례원(2공구)투찰_봉무지방산업단지도로(투찰)②_마현생창(동양고속)" xfId="879"/>
    <cellStyle name="_장성IC투찰_합덕-신례원(2공구)투찰_봉무지방산업단지도로(투찰)②_마현생창(동양고속)_왜관-태평건설" xfId="880"/>
    <cellStyle name="_장성IC투찰_합덕-신례원(2공구)투찰_봉무지방산업단지도로(투찰)②_왜관-태평건설" xfId="881"/>
    <cellStyle name="_장성IC투찰_합덕-신례원(2공구)투찰_봉무지방산업단지도로(투찰)②+0.250%" xfId="882"/>
    <cellStyle name="_장성IC투찰_합덕-신례원(2공구)투찰_봉무지방산업단지도로(투찰)②+0.250%_마현생창(동양고속)" xfId="883"/>
    <cellStyle name="_장성IC투찰_합덕-신례원(2공구)투찰_봉무지방산업단지도로(투찰)②+0.250%_마현생창(동양고속)_왜관-태평건설" xfId="884"/>
    <cellStyle name="_장성IC투찰_합덕-신례원(2공구)투찰_봉무지방산업단지도로(투찰)②+0.250%_왜관-태평건설" xfId="885"/>
    <cellStyle name="_장성IC투찰_합덕-신례원(2공구)투찰_왜관-태평건설" xfId="886"/>
    <cellStyle name="_장성IC투찰_합덕-신례원(2공구)투찰_합덕-신례원(2공구)투찰" xfId="887"/>
    <cellStyle name="_장성IC투찰_합덕-신례원(2공구)투찰_합덕-신례원(2공구)투찰_경찰서-터미널간도로(투찰)②" xfId="888"/>
    <cellStyle name="_장성IC투찰_합덕-신례원(2공구)투찰_합덕-신례원(2공구)투찰_경찰서-터미널간도로(투찰)②_마현생창(동양고속)" xfId="889"/>
    <cellStyle name="_장성IC투찰_합덕-신례원(2공구)투찰_합덕-신례원(2공구)투찰_경찰서-터미널간도로(투찰)②_마현생창(동양고속)_왜관-태평건설" xfId="890"/>
    <cellStyle name="_장성IC투찰_합덕-신례원(2공구)투찰_합덕-신례원(2공구)투찰_경찰서-터미널간도로(투찰)②_왜관-태평건설" xfId="891"/>
    <cellStyle name="_장성IC투찰_합덕-신례원(2공구)투찰_합덕-신례원(2공구)투찰_마현생창(동양고속)" xfId="892"/>
    <cellStyle name="_장성IC투찰_합덕-신례원(2공구)투찰_합덕-신례원(2공구)투찰_마현생창(동양고속)_왜관-태평건설" xfId="893"/>
    <cellStyle name="_장성IC투찰_합덕-신례원(2공구)투찰_합덕-신례원(2공구)투찰_봉무지방산업단지도로(투찰)②" xfId="894"/>
    <cellStyle name="_장성IC투찰_합덕-신례원(2공구)투찰_합덕-신례원(2공구)투찰_봉무지방산업단지도로(투찰)②_마현생창(동양고속)" xfId="895"/>
    <cellStyle name="_장성IC투찰_합덕-신례원(2공구)투찰_합덕-신례원(2공구)투찰_봉무지방산업단지도로(투찰)②_마현생창(동양고속)_왜관-태평건설" xfId="896"/>
    <cellStyle name="_장성IC투찰_합덕-신례원(2공구)투찰_합덕-신례원(2공구)투찰_봉무지방산업단지도로(투찰)②_왜관-태평건설" xfId="897"/>
    <cellStyle name="_장성IC투찰_합덕-신례원(2공구)투찰_합덕-신례원(2공구)투찰_봉무지방산업단지도로(투찰)②+0.250%" xfId="898"/>
    <cellStyle name="_장성IC투찰_합덕-신례원(2공구)투찰_합덕-신례원(2공구)투찰_봉무지방산업단지도로(투찰)②+0.250%_마현생창(동양고속)" xfId="899"/>
    <cellStyle name="_장성IC투찰_합덕-신례원(2공구)투찰_합덕-신례원(2공구)투찰_봉무지방산업단지도로(투찰)②+0.250%_마현생창(동양고속)_왜관-태평건설" xfId="900"/>
    <cellStyle name="_장성IC투찰_합덕-신례원(2공구)투찰_합덕-신례원(2공구)투찰_봉무지방산업단지도로(투찰)②+0.250%_왜관-태평건설" xfId="901"/>
    <cellStyle name="_장성IC투찰_합덕-신례원(2공구)투찰_합덕-신례원(2공구)투찰_왜관-태평건설" xfId="902"/>
    <cellStyle name="_적격 " xfId="903"/>
    <cellStyle name="_적격 _광주평동투찰" xfId="904"/>
    <cellStyle name="_적격 _광주평동품의1" xfId="905"/>
    <cellStyle name="_적격 _송학하수품의(설계넣고)" xfId="906"/>
    <cellStyle name="_적격 _집행갑지 " xfId="907"/>
    <cellStyle name="_적격 _집행갑지 _광주평동투찰" xfId="908"/>
    <cellStyle name="_적격 _집행갑지 _광주평동품의1" xfId="909"/>
    <cellStyle name="_적격 _집행갑지 _송학하수품의(설계넣고)" xfId="910"/>
    <cellStyle name="_적격(화산) " xfId="911"/>
    <cellStyle name="_적격(화산) _광주평동투찰" xfId="912"/>
    <cellStyle name="_적격(화산) _광주평동품의1" xfId="913"/>
    <cellStyle name="_적격(화산) _송학하수품의(설계넣고)" xfId="914"/>
    <cellStyle name="_점검사진양식" xfId="915"/>
    <cellStyle name="_제출용병천하수(지역관로1)" xfId="916"/>
    <cellStyle name="_제출용병천하수(지역관로1)_광주평동투찰" xfId="917"/>
    <cellStyle name="_제출용병천하수(지역관로1)_광주평동품의1" xfId="918"/>
    <cellStyle name="_제출용병천하수(지역관로1)_송학하수품의(설계넣고)" xfId="919"/>
    <cellStyle name="_집행갑지 " xfId="920"/>
    <cellStyle name="_집행갑지 _광주평동투찰" xfId="921"/>
    <cellStyle name="_집행갑지 _광주평동품의1" xfId="922"/>
    <cellStyle name="_집행갑지 _송학하수품의(설계넣고)" xfId="923"/>
    <cellStyle name="_창원상수도(투찰)-0.815%" xfId="924"/>
    <cellStyle name="_호남선두계역외2개소연결통로" xfId="925"/>
    <cellStyle name="_호남선전철화송정리역사111" xfId="926"/>
    <cellStyle name="’E‰Y [0.00]_laroux" xfId="927"/>
    <cellStyle name="’E‰Y_laroux" xfId="928"/>
    <cellStyle name="¤@?e_TEST-1 " xfId="929"/>
    <cellStyle name="æØè [0.00]_NT Server " xfId="930"/>
    <cellStyle name="æØè_NT Server " xfId="931"/>
    <cellStyle name="὜ĀȀက" xfId="932"/>
    <cellStyle name="ÊÝ [0.00]_NT Server " xfId="933"/>
    <cellStyle name="ÊÝ_NT Server " xfId="934"/>
    <cellStyle name="W?_½RmF¼° " xfId="935"/>
    <cellStyle name="0.0" xfId="936"/>
    <cellStyle name="0.00" xfId="937"/>
    <cellStyle name="1" xfId="938"/>
    <cellStyle name="1_book1" xfId="939"/>
    <cellStyle name="1_EXCEL내역변환(재-노)" xfId="940"/>
    <cellStyle name="1_가월리배수펌프(04.23)" xfId="941"/>
    <cellStyle name="1_거성토건도급계약내역(신일중고)" xfId="942"/>
    <cellStyle name="1_계수대로" xfId="943"/>
    <cellStyle name="1_단가조사표" xfId="944"/>
    <cellStyle name="1_단가집" xfId="945"/>
    <cellStyle name="1_도암강진(흥산건설)" xfId="946"/>
    <cellStyle name="1_백제큰길내역서" xfId="947"/>
    <cellStyle name="1_부안-태인1산출" xfId="948"/>
    <cellStyle name="1_삼융건설(백제큰길)" xfId="949"/>
    <cellStyle name="1_송정리역사(토목완료林)" xfId="950"/>
    <cellStyle name="1_시민계략공사" xfId="951"/>
    <cellStyle name="1_시민계략공사_도암강진(흥산건설)" xfId="952"/>
    <cellStyle name="1_시민계략공사_도암강진(흥산건설)_해남내역서" xfId="953"/>
    <cellStyle name="1_시민계략공사_부안-태인1산출" xfId="954"/>
    <cellStyle name="1_시민계략공사_전기-한남" xfId="955"/>
    <cellStyle name="1_시민계략공사_주문진신리교(동일건설)" xfId="956"/>
    <cellStyle name="1_시민계략공사_흥한건설(이양능주2공구)" xfId="957"/>
    <cellStyle name="1_신일중고식당리모델링(설계변경070420)" xfId="958"/>
    <cellStyle name="1_입찰내역서갑지양식" xfId="959"/>
    <cellStyle name="1_전자입찰원가양식" xfId="960"/>
    <cellStyle name="1_주문진신리교(동일건설)" xfId="961"/>
    <cellStyle name="1_화곡5동주민자치센터신축공사" xfId="962"/>
    <cellStyle name="1_흥한건설(주)_두창산업폐기물(하도급)" xfId="963"/>
    <cellStyle name="19990216" xfId="964"/>
    <cellStyle name="¹e" xfId="965"/>
    <cellStyle name="2" xfId="966"/>
    <cellStyle name="2_단가조사표" xfId="967"/>
    <cellStyle name="20% - 강조색1 2" xfId="968"/>
    <cellStyle name="20% - 강조색2 2" xfId="969"/>
    <cellStyle name="20% - 강조색3 2" xfId="970"/>
    <cellStyle name="20% - 강조색4 2" xfId="971"/>
    <cellStyle name="20% - 강조색5 2" xfId="972"/>
    <cellStyle name="20% - 강조색6 2" xfId="973"/>
    <cellStyle name="40% - 강조색1 2" xfId="974"/>
    <cellStyle name="40% - 강조색2 2" xfId="975"/>
    <cellStyle name="40% - 강조색3 2" xfId="976"/>
    <cellStyle name="40% - 강조색4 2" xfId="977"/>
    <cellStyle name="40% - 강조색5 2" xfId="978"/>
    <cellStyle name="40% - 강조색6 2" xfId="979"/>
    <cellStyle name="60" xfId="980"/>
    <cellStyle name="60% - 강조색1 2" xfId="981"/>
    <cellStyle name="60% - 강조색2 2" xfId="982"/>
    <cellStyle name="60% - 강조색3 2" xfId="983"/>
    <cellStyle name="60% - 강조색4 2" xfId="984"/>
    <cellStyle name="60% - 강조색5 2" xfId="985"/>
    <cellStyle name="60% - 강조색6 2" xfId="986"/>
    <cellStyle name="A" xfId="987"/>
    <cellStyle name="Ā _x0010_က랐_xdc01_땯_x0001_" xfId="988"/>
    <cellStyle name="A_거성토건도급계약내역(신일중고)" xfId="989"/>
    <cellStyle name="A_도로" xfId="990"/>
    <cellStyle name="A_부대초안" xfId="991"/>
    <cellStyle name="A_부대초안_견적의뢰" xfId="992"/>
    <cellStyle name="A_부대초안_김포투찰" xfId="993"/>
    <cellStyle name="A_부대초안_김포투찰_견적의뢰" xfId="994"/>
    <cellStyle name="A_토목내역서" xfId="995"/>
    <cellStyle name="A_토목내역서_도로" xfId="996"/>
    <cellStyle name="A_토목내역서_부대초안" xfId="997"/>
    <cellStyle name="A_토목내역서_부대초안_견적의뢰" xfId="998"/>
    <cellStyle name="A_토목내역서_부대초안_김포투찰" xfId="999"/>
    <cellStyle name="A_토목내역서_부대초안_김포투찰_견적의뢰" xfId="1000"/>
    <cellStyle name="A¨­¢¬¢Ò [0]_¡Æ¨ÏAo" xfId="1001"/>
    <cellStyle name="A¨­￠￢￠O [0]_¨oCAuCoEⓒ÷ " xfId="1002"/>
    <cellStyle name="A¨­¢¬¢Ò_¡Æ¨ÏAo" xfId="1003"/>
    <cellStyle name="A¨­￠￢￠O_¨oCAuCoEⓒ÷ " xfId="1004"/>
    <cellStyle name="Aⓒ­" xfId="1005"/>
    <cellStyle name="Ae" xfId="1006"/>
    <cellStyle name="Aee­ " xfId="1007"/>
    <cellStyle name="AeE­ [0]_¸ðCu¸·" xfId="1008"/>
    <cellStyle name="ÅëÈ­ [0]_¸ðÇü¸·" xfId="1009"/>
    <cellStyle name="AeE­ [0]_¸ðCu¸· 2" xfId="1010"/>
    <cellStyle name="ÅëÈ­ [0]_¸ñÂ÷ " xfId="1011"/>
    <cellStyle name="AeE­ [0]_¼oAI¼º " xfId="1012"/>
    <cellStyle name="ÅëÈ­ [0]_INQUIRY ¿µ¾÷ÃßÁø " xfId="1013"/>
    <cellStyle name="AeE­ [0]_INQUIRY ¿μ¾÷AßAø " xfId="1014"/>
    <cellStyle name="ÅëÈ­ [0]_º»¼± ±æ¾î±úºÎ ¼ö·® Áý°èÇ¥ " xfId="1015"/>
    <cellStyle name="AeE­ [0]_º≫¼± ±æ¾i±uºI ¼o·R Ay°eC￥ " xfId="1016"/>
    <cellStyle name="Aee­ _거성토건도급계약내역(신일중고)" xfId="1017"/>
    <cellStyle name="AeE­_¸ðCu¸·" xfId="1018"/>
    <cellStyle name="ÅëÈ­_¸ðÇü¸·" xfId="1019"/>
    <cellStyle name="AeE­_¸ðCu¸· 2" xfId="1020"/>
    <cellStyle name="ÅëÈ­_¸ñÂ÷ " xfId="1021"/>
    <cellStyle name="AeE­_¼oAI¼º " xfId="1022"/>
    <cellStyle name="ÅëÈ­_INQUIRY ¿µ¾÷ÃßÁø " xfId="1023"/>
    <cellStyle name="AeE­_INQUIRY ¿μ¾÷AßAø " xfId="1024"/>
    <cellStyle name="ÅëÈ­_º»¼± ±æ¾î±úºÎ ¼ö·® Áý°èÇ¥ " xfId="1025"/>
    <cellStyle name="AeE­_º≫¼± ±æ¾i±uºI ¼o·R Ay°eC￥ " xfId="1026"/>
    <cellStyle name="Aee¡" xfId="1027"/>
    <cellStyle name="AeE¡© [0]_¡Æ¨ÏAo" xfId="1028"/>
    <cellStyle name="AeE¡©_¡Æ¨ÏAo" xfId="1029"/>
    <cellStyle name="AeE¡ⓒ [0]_¨oCAuCoEⓒ÷ " xfId="1030"/>
    <cellStyle name="AeE¡ⓒ_¨oCAuCoEⓒ÷ " xfId="1031"/>
    <cellStyle name="ALIGNMENT" xfId="1032"/>
    <cellStyle name="Aþ¸" xfId="1033"/>
    <cellStyle name="AÞ¸¶ [0]_¸ðCu¸·" xfId="1034"/>
    <cellStyle name="ÄÞ¸¶ [0]_¸ðÇü¸·" xfId="1035"/>
    <cellStyle name="AÞ¸¶ [0]_¸ðCu¸· 2" xfId="1036"/>
    <cellStyle name="ÄÞ¸¶ [0]_¸ñÂ÷ " xfId="1037"/>
    <cellStyle name="AÞ¸¶ [0]_¼oAI¼º " xfId="1038"/>
    <cellStyle name="ÄÞ¸¶ [0]_INQUIRY ¿µ¾÷ÃßÁø " xfId="1039"/>
    <cellStyle name="AÞ¸¶ [0]_INQUIRY ¿μ¾÷AßAø " xfId="1040"/>
    <cellStyle name="ÄÞ¸¶ [0]_º»¼± ±æ¾î±úºÎ ¼ö·® Áý°èÇ¥ " xfId="1041"/>
    <cellStyle name="AÞ¸¶ [0]_º≫¼± ±æ¾i±uºI ¼o·R Ay°eC￥ " xfId="1042"/>
    <cellStyle name="AÞ¸¶_¸ðCu¸·" xfId="1043"/>
    <cellStyle name="ÄÞ¸¶_¸ðÇü¸·" xfId="1044"/>
    <cellStyle name="AÞ¸¶_¸ðCu¸· 2" xfId="1045"/>
    <cellStyle name="ÄÞ¸¶_¸ñÂ÷ " xfId="1046"/>
    <cellStyle name="AÞ¸¶_¼oAI¼º " xfId="1047"/>
    <cellStyle name="ÄÞ¸¶_INQUIRY ¿µ¾÷ÃßÁø " xfId="1048"/>
    <cellStyle name="AÞ¸¶_INQUIRY ¿μ¾÷AßAø " xfId="1049"/>
    <cellStyle name="ÄÞ¸¶_º»¼± ±æ¾î±úºÎ ¼ö·® Áý°èÇ¥ " xfId="1050"/>
    <cellStyle name="AÞ¸¶_º≫¼± ±æ¾i±uºI ¼o·R Ay°eC￥ " xfId="1051"/>
    <cellStyle name="_x0001_b" xfId="1052"/>
    <cellStyle name="Body" xfId="1053"/>
    <cellStyle name="C" xfId="1054"/>
    <cellStyle name="C[rrency [0]_laroux_1" xfId="1055"/>
    <cellStyle name="C_거성토건도급계약내역(신일중고)" xfId="1056"/>
    <cellStyle name="C_도로" xfId="1057"/>
    <cellStyle name="C_부대초안" xfId="1058"/>
    <cellStyle name="C_부대초안_견적의뢰" xfId="1059"/>
    <cellStyle name="C_부대초안_김포투찰" xfId="1060"/>
    <cellStyle name="C_부대초안_김포투찰_견적의뢰" xfId="1061"/>
    <cellStyle name="C_토목내역서" xfId="1062"/>
    <cellStyle name="C_토목내역서_도로" xfId="1063"/>
    <cellStyle name="C_토목내역서_부대초안" xfId="1064"/>
    <cellStyle name="C_토목내역서_부대초안_견적의뢰" xfId="1065"/>
    <cellStyle name="C_토목내역서_부대초안_김포투찰" xfId="1066"/>
    <cellStyle name="C_토목내역서_부대초안_김포투찰_견적의뢰" xfId="1067"/>
    <cellStyle name="C¡ÍA¨ª_¡Æ¨ÏAo" xfId="1068"/>
    <cellStyle name="C¡IA¨ª_¡ic¨u¡A¨￢I¨￢¡Æ AN¡Æe " xfId="1069"/>
    <cellStyle name="C￥AØ_  FAB AIA¤  " xfId="1070"/>
    <cellStyle name="Ç¥ÁØ_¸ðÇü¸·" xfId="1071"/>
    <cellStyle name="C￥AØ_¿μ¾÷CoE² " xfId="1072"/>
    <cellStyle name="Ç¥ÁØ_°­´ç (2)" xfId="1073"/>
    <cellStyle name="C￥AØ_¾c½A " xfId="1074"/>
    <cellStyle name="Ç¥ÁØ_5-1±¤°í " xfId="1075"/>
    <cellStyle name="C￥AØ_AN°y(1.25) " xfId="1076"/>
    <cellStyle name="Ç¥ÁØ_Áý°èÇ¥(2¿ù) " xfId="1077"/>
    <cellStyle name="C￥AØ_PERSONAL" xfId="1078"/>
    <cellStyle name="Calc Currency (0)" xfId="1079"/>
    <cellStyle name="category" xfId="1080"/>
    <cellStyle name="ⓒo" xfId="1081"/>
    <cellStyle name="CODE" xfId="1082"/>
    <cellStyle name="Comma" xfId="1083"/>
    <cellStyle name="Comma [0]" xfId="1084"/>
    <cellStyle name="Comma 2" xfId="1085"/>
    <cellStyle name="comma zerodec" xfId="1086"/>
    <cellStyle name="Comma_ SG&amp;A Bridge " xfId="1087"/>
    <cellStyle name="Comma0" xfId="1088"/>
    <cellStyle name="Comm뼬_E&amp;ONW2" xfId="1089"/>
    <cellStyle name="Copied" xfId="1090"/>
    <cellStyle name="Curren?_x0012_퐀_x0017_?" xfId="1091"/>
    <cellStyle name="Currency" xfId="1092"/>
    <cellStyle name="Currency [0]" xfId="1093"/>
    <cellStyle name="Currency 2" xfId="1094"/>
    <cellStyle name="Currency 3" xfId="1095"/>
    <cellStyle name="Currency 4" xfId="1096"/>
    <cellStyle name="Currency 5" xfId="1097"/>
    <cellStyle name="Currency 6" xfId="1098"/>
    <cellStyle name="Currency_ SG&amp;A Bridge " xfId="1099"/>
    <cellStyle name="Currency0" xfId="1100"/>
    <cellStyle name="Currency1" xfId="1101"/>
    <cellStyle name="Date" xfId="1102"/>
    <cellStyle name="Date 2" xfId="1103"/>
    <cellStyle name="Date 3" xfId="1104"/>
    <cellStyle name="Dezimal [0]_Compiling Utility Macros" xfId="1105"/>
    <cellStyle name="Dezimal_Compiling Utility Macros" xfId="1106"/>
    <cellStyle name="Dollar (zero dec)" xfId="1107"/>
    <cellStyle name="Entered" xfId="1108"/>
    <cellStyle name="F2" xfId="1109"/>
    <cellStyle name="F3" xfId="1110"/>
    <cellStyle name="F4" xfId="1111"/>
    <cellStyle name="F5" xfId="1112"/>
    <cellStyle name="F6" xfId="1113"/>
    <cellStyle name="F7" xfId="1114"/>
    <cellStyle name="F8" xfId="1115"/>
    <cellStyle name="Fixed" xfId="1116"/>
    <cellStyle name="Fixed 2" xfId="1117"/>
    <cellStyle name="Fixed 3" xfId="1118"/>
    <cellStyle name="Followed Hyperlink" xfId="1119"/>
    <cellStyle name="Grey" xfId="1120"/>
    <cellStyle name="Grey 2" xfId="1121"/>
    <cellStyle name="H1" xfId="1122"/>
    <cellStyle name="H2" xfId="1123"/>
    <cellStyle name="HEADER" xfId="1124"/>
    <cellStyle name="Header1" xfId="1125"/>
    <cellStyle name="Header2" xfId="1126"/>
    <cellStyle name="Heading 1" xfId="1127"/>
    <cellStyle name="Heading 2" xfId="1128"/>
    <cellStyle name="Heading1" xfId="1129"/>
    <cellStyle name="Heading1 2" xfId="1130"/>
    <cellStyle name="Heading1 3" xfId="1131"/>
    <cellStyle name="Heading2" xfId="1132"/>
    <cellStyle name="Heading2 2" xfId="1133"/>
    <cellStyle name="Heading2 3" xfId="1134"/>
    <cellStyle name="Heading2 4" xfId="1135"/>
    <cellStyle name="Hyperlink" xfId="1136"/>
    <cellStyle name="Hyperlink 2" xfId="1137"/>
    <cellStyle name="Input [yellow]" xfId="1138"/>
    <cellStyle name="Input [yellow] 2" xfId="1139"/>
    <cellStyle name="Midtitle" xfId="1140"/>
    <cellStyle name="Milliers [0]_!!!GO" xfId="1141"/>
    <cellStyle name="Milliers_!!!GO" xfId="1142"/>
    <cellStyle name="Model" xfId="1143"/>
    <cellStyle name="Mon?aire [0]_!!!GO" xfId="1144"/>
    <cellStyle name="Mon?aire_!!!GO" xfId="1145"/>
    <cellStyle name="Nermal_ SG&amp;A Bridge " xfId="1146"/>
    <cellStyle name="no dec" xfId="1147"/>
    <cellStyle name="Normal - Style1" xfId="1148"/>
    <cellStyle name="Normal - Style1 2" xfId="1149"/>
    <cellStyle name="Normal - Style2" xfId="1150"/>
    <cellStyle name="Normal - Style3" xfId="1151"/>
    <cellStyle name="Normal - Style4" xfId="1152"/>
    <cellStyle name="Normal - Style5" xfId="1153"/>
    <cellStyle name="Normal - Style6" xfId="1154"/>
    <cellStyle name="Normal - Style7" xfId="1155"/>
    <cellStyle name="Normal - Style8" xfId="1156"/>
    <cellStyle name="Normal - 유형1" xfId="1157"/>
    <cellStyle name="Normal_ Plans" xfId="1158"/>
    <cellStyle name="Œ…?æ맖?e [0.00]_laroux" xfId="1159"/>
    <cellStyle name="Œ…?æ맖?e_laroux" xfId="1160"/>
    <cellStyle name="oft Excel]_x000d__x000a_Comment=The open=/f lines load custom functions into the Paste Function list._x000d__x000a_Maximized=3_x000d__x000a_AutoFormat=" xfId="1161"/>
    <cellStyle name="Percent" xfId="1162"/>
    <cellStyle name="Percent [2]" xfId="1163"/>
    <cellStyle name="Percent 2" xfId="1164"/>
    <cellStyle name="Percent 3" xfId="1165"/>
    <cellStyle name="Percent 4" xfId="1166"/>
    <cellStyle name="Percent 5" xfId="1167"/>
    <cellStyle name="Percent 6" xfId="1168"/>
    <cellStyle name="Percent_!!!GO" xfId="1169"/>
    <cellStyle name="RevList" xfId="1170"/>
    <cellStyle name="STANDARD" xfId="1171"/>
    <cellStyle name="subhead" xfId="1172"/>
    <cellStyle name="Subtotal" xfId="1173"/>
    <cellStyle name="testtitle" xfId="1174"/>
    <cellStyle name="title [1]" xfId="1175"/>
    <cellStyle name="title [2]" xfId="1176"/>
    <cellStyle name="Total" xfId="1177"/>
    <cellStyle name="Total 2" xfId="1178"/>
    <cellStyle name="Total 3" xfId="1179"/>
    <cellStyle name="UM" xfId="1180"/>
    <cellStyle name="Unprot$" xfId="1181"/>
    <cellStyle name="W?rung [0]_Compiling Utility Macros" xfId="1182"/>
    <cellStyle name="W?rung_Compiling Utility Macros" xfId="1183"/>
    <cellStyle name="|?ドE" xfId="1184"/>
    <cellStyle name="강조색1 2" xfId="1185"/>
    <cellStyle name="강조색2 2" xfId="1186"/>
    <cellStyle name="강조색3 2" xfId="1187"/>
    <cellStyle name="강조색4 2" xfId="1188"/>
    <cellStyle name="강조색5 2" xfId="1189"/>
    <cellStyle name="강조색6 2" xfId="1190"/>
    <cellStyle name="경고문 2" xfId="1191"/>
    <cellStyle name="계산 2" xfId="1192"/>
    <cellStyle name="고정소숫점" xfId="1193"/>
    <cellStyle name="고정출력1" xfId="1194"/>
    <cellStyle name="고정출력2" xfId="1195"/>
    <cellStyle name="공백" xfId="1196"/>
    <cellStyle name="공백1" xfId="1197"/>
    <cellStyle name="공백1수" xfId="1198"/>
    <cellStyle name="공사원가계산서(조경)" xfId="1199"/>
    <cellStyle name="굴림" xfId="1200"/>
    <cellStyle name="기본내역서" xfId="1201"/>
    <cellStyle name="끼_x0001_?" xfId="1202"/>
    <cellStyle name="나쁨 2" xfId="1203"/>
    <cellStyle name="날짜" xfId="1204"/>
    <cellStyle name="내역서" xfId="1205"/>
    <cellStyle name="단위" xfId="1206"/>
    <cellStyle name="달러" xfId="1207"/>
    <cellStyle name="뒤에 오는 하이퍼링크" xfId="1208"/>
    <cellStyle name="똿뗦먛귟 [0.00]_laroux" xfId="1209"/>
    <cellStyle name="똿뗦먛귟_laroux" xfId="1210"/>
    <cellStyle name="메모 2" xfId="1211"/>
    <cellStyle name="메모 3" xfId="1212"/>
    <cellStyle name="믅됞 [0.00]_laroux" xfId="1213"/>
    <cellStyle name="믅됞_laroux" xfId="1214"/>
    <cellStyle name="배분" xfId="1215"/>
    <cellStyle name="백" xfId="1216"/>
    <cellStyle name="백_3.우수" xfId="1217"/>
    <cellStyle name="백_3.우수_1" xfId="1218"/>
    <cellStyle name="백_4.오수" xfId="1219"/>
    <cellStyle name="백_거성토건도급계약내역(신일중고)" xfId="1220"/>
    <cellStyle name="백_도로" xfId="1221"/>
    <cellStyle name="백_부대초안" xfId="1222"/>
    <cellStyle name="백_부대초안_견적의뢰" xfId="1223"/>
    <cellStyle name="백_부대초안_김포투찰" xfId="1224"/>
    <cellStyle name="백_부대초안_김포투찰_견적의뢰" xfId="1225"/>
    <cellStyle name="백_실행예산" xfId="1226"/>
    <cellStyle name="백_토목내역서" xfId="1227"/>
    <cellStyle name="백_토목내역서_도로" xfId="1228"/>
    <cellStyle name="백_토목내역서_부대초안" xfId="1229"/>
    <cellStyle name="백_토목내역서_부대초안_견적의뢰" xfId="1230"/>
    <cellStyle name="백_토목내역서_부대초안_김포투찰" xfId="1231"/>
    <cellStyle name="백_토목내역서_부대초안_김포투찰_견적의뢰" xfId="1232"/>
    <cellStyle name="백분율 [0]" xfId="1233"/>
    <cellStyle name="백분율 [2]" xfId="1234"/>
    <cellStyle name="백분율 10" xfId="1235"/>
    <cellStyle name="백분율 11" xfId="1236"/>
    <cellStyle name="백분율 12" xfId="1237"/>
    <cellStyle name="백분율 13" xfId="1238"/>
    <cellStyle name="백분율 2" xfId="1239"/>
    <cellStyle name="백분율 2 2" xfId="1240"/>
    <cellStyle name="백분율 2 3" xfId="1241"/>
    <cellStyle name="백분율 3" xfId="1242"/>
    <cellStyle name="백분율 4" xfId="1243"/>
    <cellStyle name="백분율 5" xfId="1244"/>
    <cellStyle name="백분율 6" xfId="1245"/>
    <cellStyle name="백분율 7" xfId="1246"/>
    <cellStyle name="백분율 8" xfId="1247"/>
    <cellStyle name="백분율 9" xfId="1248"/>
    <cellStyle name="백분율［△1］" xfId="1249"/>
    <cellStyle name="백분율［△2］" xfId="1250"/>
    <cellStyle name="벭?_Q1 PRODUCT ACTUAL_4월 (2)" xfId="1251"/>
    <cellStyle name="보통 2" xfId="1252"/>
    <cellStyle name="뷭?" xfId="1253"/>
    <cellStyle name="빨강" xfId="1254"/>
    <cellStyle name="선택영역의 가운데로" xfId="1255"/>
    <cellStyle name="설계서" xfId="1256"/>
    <cellStyle name="설명 텍스트 2" xfId="1257"/>
    <cellStyle name="셀 확인 2" xfId="1258"/>
    <cellStyle name="소수" xfId="1259"/>
    <cellStyle name="소수3" xfId="1260"/>
    <cellStyle name="소수4" xfId="1261"/>
    <cellStyle name="소수점" xfId="1262"/>
    <cellStyle name="수당" xfId="1263"/>
    <cellStyle name="수당2" xfId="1264"/>
    <cellStyle name="수량" xfId="1265"/>
    <cellStyle name="숫자(R)" xfId="1266"/>
    <cellStyle name="쉼표 [0]" xfId="1267" builtinId="6"/>
    <cellStyle name="쉼표 [0] 2" xfId="1268"/>
    <cellStyle name="쉼표 [0] 2 2" xfId="1269"/>
    <cellStyle name="쉼표 [0] 2 2 2" xfId="1270"/>
    <cellStyle name="쉼표 [0] 2 3" xfId="1271"/>
    <cellStyle name="쉼표 [0] 2 4" xfId="1272"/>
    <cellStyle name="쉼표 [0] 3" xfId="1273"/>
    <cellStyle name="쉼표 [0] 3 2" xfId="1274"/>
    <cellStyle name="쉼표 [0] 4" xfId="1275"/>
    <cellStyle name="쉼표 [0] 4 2" xfId="1276"/>
    <cellStyle name="쉼표 [0] 5" xfId="1277"/>
    <cellStyle name="스타일 1" xfId="1278"/>
    <cellStyle name="스타일 1 2" xfId="1279"/>
    <cellStyle name="스타일 10" xfId="1280"/>
    <cellStyle name="스타일 11" xfId="1281"/>
    <cellStyle name="스타일 12" xfId="1282"/>
    <cellStyle name="스타일 13" xfId="1283"/>
    <cellStyle name="스타일 14" xfId="1284"/>
    <cellStyle name="스타일 15" xfId="1285"/>
    <cellStyle name="스타일 16" xfId="1286"/>
    <cellStyle name="스타일 17" xfId="1287"/>
    <cellStyle name="스타일 18" xfId="1288"/>
    <cellStyle name="스타일 19" xfId="1289"/>
    <cellStyle name="스타일 2" xfId="1290"/>
    <cellStyle name="스타일 2 2" xfId="1291"/>
    <cellStyle name="스타일 20" xfId="1292"/>
    <cellStyle name="스타일 21" xfId="1293"/>
    <cellStyle name="스타일 22" xfId="1294"/>
    <cellStyle name="스타일 23" xfId="1295"/>
    <cellStyle name="스타일 24" xfId="1296"/>
    <cellStyle name="스타일 25" xfId="1297"/>
    <cellStyle name="스타일 26" xfId="1298"/>
    <cellStyle name="스타일 27" xfId="1299"/>
    <cellStyle name="스타일 28" xfId="1300"/>
    <cellStyle name="스타일 29" xfId="1301"/>
    <cellStyle name="스타일 3" xfId="1302"/>
    <cellStyle name="스타일 30" xfId="1303"/>
    <cellStyle name="스타일 31" xfId="1304"/>
    <cellStyle name="스타일 32" xfId="1305"/>
    <cellStyle name="스타일 33" xfId="1306"/>
    <cellStyle name="스타일 34" xfId="1307"/>
    <cellStyle name="스타일 35" xfId="1308"/>
    <cellStyle name="스타일 36" xfId="1309"/>
    <cellStyle name="스타일 37" xfId="1310"/>
    <cellStyle name="스타일 38" xfId="1311"/>
    <cellStyle name="스타일 39" xfId="1312"/>
    <cellStyle name="스타일 4" xfId="1313"/>
    <cellStyle name="스타일 40" xfId="1314"/>
    <cellStyle name="스타일 41" xfId="1315"/>
    <cellStyle name="스타일 42" xfId="1316"/>
    <cellStyle name="스타일 43" xfId="1317"/>
    <cellStyle name="스타일 44" xfId="1318"/>
    <cellStyle name="스타일 45" xfId="1319"/>
    <cellStyle name="스타일 46" xfId="1320"/>
    <cellStyle name="스타일 47" xfId="1321"/>
    <cellStyle name="스타일 48" xfId="1322"/>
    <cellStyle name="스타일 49" xfId="1323"/>
    <cellStyle name="스타일 5" xfId="1324"/>
    <cellStyle name="스타일 50" xfId="1325"/>
    <cellStyle name="스타일 51" xfId="1326"/>
    <cellStyle name="스타일 52" xfId="1327"/>
    <cellStyle name="스타일 53" xfId="1328"/>
    <cellStyle name="스타일 54" xfId="1329"/>
    <cellStyle name="스타일 55" xfId="1330"/>
    <cellStyle name="스타일 6" xfId="1331"/>
    <cellStyle name="스타일 7" xfId="1332"/>
    <cellStyle name="스타일 8" xfId="1333"/>
    <cellStyle name="스타일 9" xfId="1334"/>
    <cellStyle name="안건회계법인" xfId="1335"/>
    <cellStyle name="연결된 셀 2" xfId="1336"/>
    <cellStyle name="요약 2" xfId="1337"/>
    <cellStyle name="원" xfId="1338"/>
    <cellStyle name="원_가월리배수펌프(04.23)" xfId="1339"/>
    <cellStyle name="원_입찰내역서갑지양식" xfId="1340"/>
    <cellStyle name="원_흥한건설(주)_두창산업폐기물(하도급)" xfId="1341"/>
    <cellStyle name="유1" xfId="1342"/>
    <cellStyle name="윤1" xfId="1343"/>
    <cellStyle name="일위대가" xfId="1344"/>
    <cellStyle name="입력 2" xfId="1345"/>
    <cellStyle name="자리수" xfId="1346"/>
    <cellStyle name="자리수 - 유형1" xfId="1347"/>
    <cellStyle name="자리수_거성토건도급계약내역(신일중고)" xfId="1348"/>
    <cellStyle name="자리수0" xfId="1349"/>
    <cellStyle name="제목 1 2" xfId="1350"/>
    <cellStyle name="제목 2 2" xfId="1351"/>
    <cellStyle name="제목 3 2" xfId="1352"/>
    <cellStyle name="제목 4 2" xfId="1353"/>
    <cellStyle name="제목 5" xfId="1354"/>
    <cellStyle name="좋음 2" xfId="1355"/>
    <cellStyle name="지정되지 않음" xfId="1356"/>
    <cellStyle name="출력 2" xfId="1357"/>
    <cellStyle name="콤" xfId="1358"/>
    <cellStyle name="콤_3.우수" xfId="1359"/>
    <cellStyle name="콤_3.우수_1" xfId="1360"/>
    <cellStyle name="콤_4.오수" xfId="1361"/>
    <cellStyle name="콤_거성토건도급계약내역(신일중고)" xfId="1362"/>
    <cellStyle name="콤_도로" xfId="1363"/>
    <cellStyle name="콤_부대초안" xfId="1364"/>
    <cellStyle name="콤_부대초안_견적의뢰" xfId="1365"/>
    <cellStyle name="콤_부대초안_김포투찰" xfId="1366"/>
    <cellStyle name="콤_부대초안_김포투찰_견적의뢰" xfId="1367"/>
    <cellStyle name="콤_실행예산" xfId="1368"/>
    <cellStyle name="콤_토목내역서" xfId="1369"/>
    <cellStyle name="콤_토목내역서_도로" xfId="1370"/>
    <cellStyle name="콤_토목내역서_부대초안" xfId="1371"/>
    <cellStyle name="콤_토목내역서_부대초안_견적의뢰" xfId="1372"/>
    <cellStyle name="콤_토목내역서_부대초안_김포투찰" xfId="1373"/>
    <cellStyle name="콤_토목내역서_부대초안_김포투찰_견적의뢰" xfId="1374"/>
    <cellStyle name="콤마" xfId="1375"/>
    <cellStyle name="콤마 [" xfId="1376"/>
    <cellStyle name="콤마 [#]" xfId="1377"/>
    <cellStyle name="콤마 []" xfId="1378"/>
    <cellStyle name="콤마 [_거성토건도급계약내역(신일중고)" xfId="1379"/>
    <cellStyle name="콤마 [0]" xfId="1380"/>
    <cellStyle name="콤마 [2]" xfId="1381"/>
    <cellStyle name="콤마 [2] 2" xfId="1382"/>
    <cellStyle name="콤마 [금액]" xfId="1383"/>
    <cellStyle name="콤마 [소수]" xfId="1384"/>
    <cellStyle name="콤마 [수량]" xfId="1385"/>
    <cellStyle name="콤마[ ]" xfId="1386"/>
    <cellStyle name="콤마[*]" xfId="1387"/>
    <cellStyle name="콤마[.]" xfId="1388"/>
    <cellStyle name="콤마[0]" xfId="1389"/>
    <cellStyle name="콤마_   1997   " xfId="1390"/>
    <cellStyle name="통" xfId="1391"/>
    <cellStyle name="통_3.우수" xfId="1392"/>
    <cellStyle name="통_3.우수_1" xfId="1393"/>
    <cellStyle name="통_4.오수" xfId="1394"/>
    <cellStyle name="통_거성토건도급계약내역(신일중고)" xfId="1395"/>
    <cellStyle name="통_도로" xfId="1396"/>
    <cellStyle name="통_부대초안" xfId="1397"/>
    <cellStyle name="통_부대초안_견적의뢰" xfId="1398"/>
    <cellStyle name="통_부대초안_김포투찰" xfId="1399"/>
    <cellStyle name="통_부대초안_김포투찰_견적의뢰" xfId="1400"/>
    <cellStyle name="통_실행예산" xfId="1401"/>
    <cellStyle name="통_토목내역서" xfId="1402"/>
    <cellStyle name="통_토목내역서_도로" xfId="1403"/>
    <cellStyle name="통_토목내역서_부대초안" xfId="1404"/>
    <cellStyle name="통_토목내역서_부대초안_견적의뢰" xfId="1405"/>
    <cellStyle name="통_토목내역서_부대초안_김포투찰" xfId="1406"/>
    <cellStyle name="통_토목내역서_부대초안_김포투찰_견적의뢰" xfId="1407"/>
    <cellStyle name="통화 [" xfId="1408"/>
    <cellStyle name="통화 [0] 2" xfId="1409"/>
    <cellStyle name="통화 [0] 3" xfId="1410"/>
    <cellStyle name="퍼센트" xfId="1411"/>
    <cellStyle name="표" xfId="1412"/>
    <cellStyle name="표_3.우수" xfId="1413"/>
    <cellStyle name="표_3.우수_1" xfId="1414"/>
    <cellStyle name="표_4.오수" xfId="1415"/>
    <cellStyle name="표_거성토건도급계약내역(신일중고)" xfId="1416"/>
    <cellStyle name="표_도로" xfId="1417"/>
    <cellStyle name="표_부대초안" xfId="1418"/>
    <cellStyle name="표_부대초안_견적의뢰" xfId="1419"/>
    <cellStyle name="표_부대초안_김포투찰" xfId="1420"/>
    <cellStyle name="표_부대초안_김포투찰_견적의뢰" xfId="1421"/>
    <cellStyle name="표_실행예산" xfId="1422"/>
    <cellStyle name="표_토목내역서" xfId="1423"/>
    <cellStyle name="표_토목내역서_도로" xfId="1424"/>
    <cellStyle name="표_토목내역서_부대초안" xfId="1425"/>
    <cellStyle name="표_토목내역서_부대초안_견적의뢰" xfId="1426"/>
    <cellStyle name="표_토목내역서_부대초안_김포투찰" xfId="1427"/>
    <cellStyle name="표_토목내역서_부대초안_김포투찰_견적의뢰" xfId="1428"/>
    <cellStyle name="표준 10" xfId="1429"/>
    <cellStyle name="표준 11" xfId="1430"/>
    <cellStyle name="표준 12" xfId="1431"/>
    <cellStyle name="표준 13" xfId="1432"/>
    <cellStyle name="표준 14" xfId="1433"/>
    <cellStyle name="표준 15" xfId="1434"/>
    <cellStyle name="표준 16" xfId="1435"/>
    <cellStyle name="표준 2" xfId="1436"/>
    <cellStyle name="표준 2 2" xfId="1437"/>
    <cellStyle name="표준 2 2 2" xfId="1438"/>
    <cellStyle name="표준 2 2 3" xfId="1439"/>
    <cellStyle name="표준 2 3" xfId="1440"/>
    <cellStyle name="표준 2 4" xfId="1441"/>
    <cellStyle name="표준 2 6" xfId="1442"/>
    <cellStyle name="표준 2_G-2빌딩(홈스웰)" xfId="1443"/>
    <cellStyle name="표준 3" xfId="1444"/>
    <cellStyle name="표준 3 2" xfId="1445"/>
    <cellStyle name="표준 3 2 2" xfId="1446"/>
    <cellStyle name="표준 3 3" xfId="1447"/>
    <cellStyle name="표준 3 4" xfId="1448"/>
    <cellStyle name="표준 3_개나리13단지  프리액션 타견적(대양,홈스웰)131205" xfId="1449"/>
    <cellStyle name="표준 4" xfId="1450"/>
    <cellStyle name="표준 4 2" xfId="1451"/>
    <cellStyle name="표준 4 3" xfId="1452"/>
    <cellStyle name="표준 4 4" xfId="1453"/>
    <cellStyle name="표준 5" xfId="1454"/>
    <cellStyle name="표준 5 2" xfId="1455"/>
    <cellStyle name="표준 5 3" xfId="1456"/>
    <cellStyle name="표준 6" xfId="1457"/>
    <cellStyle name="표준 6 2" xfId="1458"/>
    <cellStyle name="표준 7" xfId="1459"/>
    <cellStyle name="표준 7 2" xfId="1460"/>
    <cellStyle name="표준 8" xfId="1461"/>
    <cellStyle name="표준 8 2" xfId="1462"/>
    <cellStyle name="표준 9" xfId="1463"/>
    <cellStyle name="標準_Akia(F）-8" xfId="1464"/>
    <cellStyle name="합산" xfId="1465"/>
    <cellStyle name="화폐기호" xfId="1466"/>
    <cellStyle name="화폐기호0" xfId="1467"/>
    <cellStyle name="ㅣ" xfId="1468"/>
    <cellStyle name="표준 17" xfId="1469"/>
    <cellStyle name="쉼표 [0] 6" xfId="1470"/>
    <cellStyle name="백분율 14" xfId="1471"/>
    <cellStyle name="표준 18" xfId="1472"/>
    <cellStyle name="쉼표 [0] 7" xfId="1473"/>
    <cellStyle name="표준 7 3" xfId="1474"/>
    <cellStyle name="쉼표 [0] 2 5" xfId="1475"/>
    <cellStyle name="하이퍼링크 2" xfId="1476"/>
    <cellStyle name="백분율 15" xfId="1477"/>
    <cellStyle name="_강내투찰내역서-x 2" xfId="1478"/>
    <cellStyle name="_강내투찰내역서-x_왜관-태평건설 2" xfId="1479"/>
    <cellStyle name="_광릉투찰 2" xfId="1480"/>
    <cellStyle name="_광릉투찰_왜관-태평건설 2" xfId="1481"/>
    <cellStyle name="_광주평동투찰 2" xfId="1482"/>
    <cellStyle name="_광주평동투찰3 2" xfId="1483"/>
    <cellStyle name="_광주평동품의1 2" xfId="1484"/>
    <cellStyle name="_구문소철암투찰 2" xfId="1485"/>
    <cellStyle name="_구문소철암투찰_광릉투찰 2" xfId="1486"/>
    <cellStyle name="_구문소철암투찰_광릉투찰_왜관-태평건설 2" xfId="1487"/>
    <cellStyle name="_구문소철암투찰_왜관-태평건설 2" xfId="1488"/>
    <cellStyle name="_농소투찰(32152) 2" xfId="1489"/>
    <cellStyle name="_농소투찰(32152)_왜관-태평건설 2" xfId="1490"/>
    <cellStyle name="_대곡이설(투찰) 2" xfId="1491"/>
    <cellStyle name="_대곡이설(투찰)_1 2" xfId="1492"/>
    <cellStyle name="_대곡이설(투찰)_1_경찰서-터미널간도로(투찰)② 2" xfId="1493"/>
    <cellStyle name="_대곡이설(투찰)_1_경찰서-터미널간도로(투찰)②_마현생창(동양고속) 2" xfId="1494"/>
    <cellStyle name="_대곡이설(투찰)_1_경찰서-터미널간도로(투찰)②_마현생창(동양고속)_왜관-태평건설 2" xfId="1495"/>
    <cellStyle name="_대곡이설(투찰)_1_경찰서-터미널간도로(투찰)②_왜관-태평건설 2" xfId="1496"/>
    <cellStyle name="_대곡이설(투찰)_1_마현생창(동양고속) 2" xfId="1497"/>
    <cellStyle name="_대곡이설(투찰)_1_마현생창(동양고속)_왜관-태평건설 2" xfId="1498"/>
    <cellStyle name="_대곡이설(투찰)_1_봉무지방산업단지도로(투찰)② 2" xfId="1499"/>
    <cellStyle name="_대곡이설(투찰)_1_봉무지방산업단지도로(투찰)②_마현생창(동양고속) 2" xfId="1500"/>
    <cellStyle name="_대곡이설(투찰)_1_봉무지방산업단지도로(투찰)②_마현생창(동양고속)_왜관-태평건설 2" xfId="1501"/>
    <cellStyle name="_대곡이설(투찰)_1_봉무지방산업단지도로(투찰)②_왜관-태평건설 2" xfId="1502"/>
    <cellStyle name="_대곡이설(투찰)_1_봉무지방산업단지도로(투찰)②+0.250% 2" xfId="1503"/>
    <cellStyle name="_대곡이설(투찰)_1_봉무지방산업단지도로(투찰)②+0.250%_마현생창(동양고속) 2" xfId="1504"/>
    <cellStyle name="_대곡이설(투찰)_1_봉무지방산업단지도로(투찰)②+0.250%_마현생창(동양고속)_왜관-태평건설 2" xfId="1505"/>
    <cellStyle name="_대곡이설(투찰)_1_봉무지방산업단지도로(투찰)②+0.250%_왜관-태평건설 2" xfId="1506"/>
    <cellStyle name="_대곡이설(투찰)_1_왜관-태평건설 2" xfId="1507"/>
    <cellStyle name="_대곡이설(투찰)_1_합덕-신례원(2공구)투찰 2" xfId="1508"/>
    <cellStyle name="_대곡이설(투찰)_1_합덕-신례원(2공구)투찰_경찰서-터미널간도로(투찰)② 2" xfId="1509"/>
    <cellStyle name="_대곡이설(투찰)_1_합덕-신례원(2공구)투찰_경찰서-터미널간도로(투찰)②_마현생창(동양고속) 2" xfId="1510"/>
    <cellStyle name="_대곡이설(투찰)_1_합덕-신례원(2공구)투찰_경찰서-터미널간도로(투찰)②_마현생창(동양고속)_왜관-태평건설 2" xfId="1511"/>
    <cellStyle name="_대곡이설(투찰)_1_합덕-신례원(2공구)투찰_경찰서-터미널간도로(투찰)②_왜관-태평건설 2" xfId="1512"/>
    <cellStyle name="_대곡이설(투찰)_1_합덕-신례원(2공구)투찰_마현생창(동양고속) 2" xfId="1513"/>
    <cellStyle name="_대곡이설(투찰)_1_합덕-신례원(2공구)투찰_마현생창(동양고속)_왜관-태평건설 2" xfId="1514"/>
    <cellStyle name="_대곡이설(투찰)_1_합덕-신례원(2공구)투찰_봉무지방산업단지도로(투찰)② 2" xfId="1515"/>
    <cellStyle name="_대곡이설(투찰)_1_합덕-신례원(2공구)투찰_봉무지방산업단지도로(투찰)②_마현생창(동양고속) 2" xfId="1516"/>
    <cellStyle name="_대곡이설(투찰)_1_합덕-신례원(2공구)투찰_봉무지방산업단지도로(투찰)②_마현생창(동양고속)_왜관-태평건설 2" xfId="1517"/>
    <cellStyle name="_대곡이설(투찰)_1_합덕-신례원(2공구)투찰_봉무지방산업단지도로(투찰)②_왜관-태평건설 2" xfId="1518"/>
    <cellStyle name="_대곡이설(투찰)_1_합덕-신례원(2공구)투찰_봉무지방산업단지도로(투찰)②+0.250% 2" xfId="1519"/>
    <cellStyle name="_대곡이설(투찰)_1_합덕-신례원(2공구)투찰_봉무지방산업단지도로(투찰)②+0.250%_마현생창(동양고속) 2" xfId="1520"/>
    <cellStyle name="_대곡이설(투찰)_1_합덕-신례원(2공구)투찰_봉무지방산업단지도로(투찰)②+0.250%_마현생창(동양고속)_왜관-태평건설 2" xfId="1521"/>
    <cellStyle name="_대곡이설(투찰)_1_합덕-신례원(2공구)투찰_봉무지방산업단지도로(투찰)②+0.250%_왜관-태평건설 2" xfId="1522"/>
    <cellStyle name="_대곡이설(투찰)_1_합덕-신례원(2공구)투찰_왜관-태평건설 2" xfId="1523"/>
    <cellStyle name="_대곡이설(투찰)_1_합덕-신례원(2공구)투찰_합덕-신례원(2공구)투찰 2" xfId="1524"/>
    <cellStyle name="_대곡이설(투찰)_1_합덕-신례원(2공구)투찰_합덕-신례원(2공구)투찰_경찰서-터미널간도로(투찰)② 2" xfId="1525"/>
    <cellStyle name="_대곡이설(투찰)_1_합덕-신례원(2공구)투찰_합덕-신례원(2공구)투찰_경찰서-터미널간도로(투찰)②_마현생창(동양고속) 2" xfId="1526"/>
    <cellStyle name="_대곡이설(투찰)_1_합덕-신례원(2공구)투찰_합덕-신례원(2공구)투찰_경찰서-터미널간도로(투찰)②_마현생창(동양고속)_왜관-태평건설 2" xfId="1527"/>
    <cellStyle name="_대곡이설(투찰)_1_합덕-신례원(2공구)투찰_합덕-신례원(2공구)투찰_경찰서-터미널간도로(투찰)②_왜관-태평건설 2" xfId="1528"/>
    <cellStyle name="_대곡이설(투찰)_1_합덕-신례원(2공구)투찰_합덕-신례원(2공구)투찰_마현생창(동양고속) 2" xfId="1529"/>
    <cellStyle name="_대곡이설(투찰)_1_합덕-신례원(2공구)투찰_합덕-신례원(2공구)투찰_마현생창(동양고속)_왜관-태평건설 2" xfId="1530"/>
    <cellStyle name="_대곡이설(투찰)_1_합덕-신례원(2공구)투찰_합덕-신례원(2공구)투찰_봉무지방산업단지도로(투찰)② 2" xfId="1531"/>
    <cellStyle name="_대곡이설(투찰)_1_합덕-신례원(2공구)투찰_합덕-신례원(2공구)투찰_봉무지방산업단지도로(투찰)②_마현생창(동양고속) 2" xfId="1532"/>
    <cellStyle name="_대곡이설(투찰)_1_합덕-신례원(2공구)투찰_합덕-신례원(2공구)투찰_봉무지방산업단지도로(투찰)②_마현생창(동양고속)_왜관-태평건설 2" xfId="1533"/>
    <cellStyle name="_대곡이설(투찰)_1_합덕-신례원(2공구)투찰_합덕-신례원(2공구)투찰_봉무지방산업단지도로(투찰)②_왜관-태평건설 2" xfId="1534"/>
    <cellStyle name="_대곡이설(투찰)_1_합덕-신례원(2공구)투찰_합덕-신례원(2공구)투찰_봉무지방산업단지도로(투찰)②+0.250% 2" xfId="1535"/>
    <cellStyle name="_대곡이설(투찰)_1_합덕-신례원(2공구)투찰_합덕-신례원(2공구)투찰_봉무지방산업단지도로(투찰)②+0.250%_마현생창(동양고속) 2" xfId="1536"/>
    <cellStyle name="_대곡이설(투찰)_1_합덕-신례원(2공구)투찰_합덕-신례원(2공구)투찰_봉무지방산업단지도로(투찰)②+0.250%_마현생창(동양고속)_왜관-태평건설 2" xfId="1537"/>
    <cellStyle name="_대곡이설(투찰)_1_합덕-신례원(2공구)투찰_합덕-신례원(2공구)투찰_봉무지방산업단지도로(투찰)②+0.250%_왜관-태평건설 2" xfId="1538"/>
    <cellStyle name="_대곡이설(투찰)_1_합덕-신례원(2공구)투찰_합덕-신례원(2공구)투찰_왜관-태평건설 2" xfId="1539"/>
    <cellStyle name="_대곡이설(투찰)_경찰서-터미널간도로(투찰)② 2" xfId="1540"/>
    <cellStyle name="_대곡이설(투찰)_경찰서-터미널간도로(투찰)②_마현생창(동양고속) 2" xfId="1541"/>
    <cellStyle name="_대곡이설(투찰)_경찰서-터미널간도로(투찰)②_마현생창(동양고속)_왜관-태평건설 2" xfId="1542"/>
    <cellStyle name="_대곡이설(투찰)_경찰서-터미널간도로(투찰)②_왜관-태평건설 2" xfId="1543"/>
    <cellStyle name="_대곡이설(투찰)_도덕-고흥도로(투찰) 2" xfId="1544"/>
    <cellStyle name="_대곡이설(투찰)_도덕-고흥도로(투찰)_경찰서-터미널간도로(투찰)② 2" xfId="1545"/>
    <cellStyle name="_대곡이설(투찰)_도덕-고흥도로(투찰)_경찰서-터미널간도로(투찰)②_마현생창(동양고속) 2" xfId="1546"/>
    <cellStyle name="_대곡이설(투찰)_도덕-고흥도로(투찰)_경찰서-터미널간도로(투찰)②_마현생창(동양고속)_왜관-태평건설 2" xfId="1547"/>
    <cellStyle name="_대곡이설(투찰)_도덕-고흥도로(투찰)_경찰서-터미널간도로(투찰)②_왜관-태평건설 2" xfId="1548"/>
    <cellStyle name="_대곡이설(투찰)_도덕-고흥도로(투찰)_마현생창(동양고속) 2" xfId="1549"/>
    <cellStyle name="_대곡이설(투찰)_도덕-고흥도로(투찰)_마현생창(동양고속)_왜관-태평건설 2" xfId="1550"/>
    <cellStyle name="_대곡이설(투찰)_도덕-고흥도로(투찰)_봉무지방산업단지도로(투찰)② 2" xfId="1551"/>
    <cellStyle name="_대곡이설(투찰)_도덕-고흥도로(투찰)_봉무지방산업단지도로(투찰)②_마현생창(동양고속) 2" xfId="1552"/>
    <cellStyle name="_대곡이설(투찰)_도덕-고흥도로(투찰)_봉무지방산업단지도로(투찰)②_마현생창(동양고속)_왜관-태평건설 2" xfId="1553"/>
    <cellStyle name="_대곡이설(투찰)_도덕-고흥도로(투찰)_봉무지방산업단지도로(투찰)②_왜관-태평건설 2" xfId="1554"/>
    <cellStyle name="_대곡이설(투찰)_도덕-고흥도로(투찰)_봉무지방산업단지도로(투찰)②+0.250% 2" xfId="1555"/>
    <cellStyle name="_대곡이설(투찰)_도덕-고흥도로(투찰)_봉무지방산업단지도로(투찰)②+0.250%_마현생창(동양고속) 2" xfId="1556"/>
    <cellStyle name="_대곡이설(투찰)_도덕-고흥도로(투찰)_봉무지방산업단지도로(투찰)②+0.250%_마현생창(동양고속)_왜관-태평건설 2" xfId="1557"/>
    <cellStyle name="_대곡이설(투찰)_도덕-고흥도로(투찰)_봉무지방산업단지도로(투찰)②+0.250%_왜관-태평건설 2" xfId="1558"/>
    <cellStyle name="_대곡이설(투찰)_도덕-고흥도로(투찰)_왜관-태평건설 2" xfId="1559"/>
    <cellStyle name="_대곡이설(투찰)_도덕-고흥도로(투찰)_합덕-신례원(2공구)투찰 2" xfId="1560"/>
    <cellStyle name="_대곡이설(투찰)_도덕-고흥도로(투찰)_합덕-신례원(2공구)투찰_경찰서-터미널간도로(투찰)② 2" xfId="1561"/>
    <cellStyle name="_대곡이설(투찰)_도덕-고흥도로(투찰)_합덕-신례원(2공구)투찰_경찰서-터미널간도로(투찰)②_마현생창(동양고속) 2" xfId="1562"/>
    <cellStyle name="_대곡이설(투찰)_도덕-고흥도로(투찰)_합덕-신례원(2공구)투찰_경찰서-터미널간도로(투찰)②_마현생창(동양고속)_왜관-태평건설 2" xfId="1563"/>
    <cellStyle name="_대곡이설(투찰)_도덕-고흥도로(투찰)_합덕-신례원(2공구)투찰_경찰서-터미널간도로(투찰)②_왜관-태평건설 2" xfId="1564"/>
    <cellStyle name="_대곡이설(투찰)_도덕-고흥도로(투찰)_합덕-신례원(2공구)투찰_마현생창(동양고속) 2" xfId="1565"/>
    <cellStyle name="_대곡이설(투찰)_도덕-고흥도로(투찰)_합덕-신례원(2공구)투찰_마현생창(동양고속)_왜관-태평건설 2" xfId="1566"/>
    <cellStyle name="_대곡이설(투찰)_도덕-고흥도로(투찰)_합덕-신례원(2공구)투찰_봉무지방산업단지도로(투찰)② 2" xfId="1567"/>
    <cellStyle name="_대곡이설(투찰)_도덕-고흥도로(투찰)_합덕-신례원(2공구)투찰_봉무지방산업단지도로(투찰)②_마현생창(동양고속) 2" xfId="1568"/>
    <cellStyle name="_대곡이설(투찰)_도덕-고흥도로(투찰)_합덕-신례원(2공구)투찰_봉무지방산업단지도로(투찰)②_마현생창(동양고속)_왜관-태평건설 2" xfId="1569"/>
    <cellStyle name="_대곡이설(투찰)_도덕-고흥도로(투찰)_합덕-신례원(2공구)투찰_봉무지방산업단지도로(투찰)②_왜관-태평건설 2" xfId="1570"/>
    <cellStyle name="_대곡이설(투찰)_도덕-고흥도로(투찰)_합덕-신례원(2공구)투찰_봉무지방산업단지도로(투찰)②+0.250% 2" xfId="1571"/>
    <cellStyle name="_대곡이설(투찰)_도덕-고흥도로(투찰)_합덕-신례원(2공구)투찰_봉무지방산업단지도로(투찰)②+0.250%_마현생창(동양고속) 2" xfId="1572"/>
    <cellStyle name="_대곡이설(투찰)_도덕-고흥도로(투찰)_합덕-신례원(2공구)투찰_봉무지방산업단지도로(투찰)②+0.250%_마현생창(동양고속)_왜관-태평건설 2" xfId="1573"/>
    <cellStyle name="_대곡이설(투찰)_도덕-고흥도로(투찰)_합덕-신례원(2공구)투찰_봉무지방산업단지도로(투찰)②+0.250%_왜관-태평건설 2" xfId="1574"/>
    <cellStyle name="_대곡이설(투찰)_도덕-고흥도로(투찰)_합덕-신례원(2공구)투찰_왜관-태평건설 2" xfId="1575"/>
    <cellStyle name="_대곡이설(투찰)_도덕-고흥도로(투찰)_합덕-신례원(2공구)투찰_합덕-신례원(2공구)투찰 2" xfId="1576"/>
    <cellStyle name="_대곡이설(투찰)_도덕-고흥도로(투찰)_합덕-신례원(2공구)투찰_합덕-신례원(2공구)투찰_경찰서-터미널간도로(투찰)② 2" xfId="1577"/>
    <cellStyle name="_대곡이설(투찰)_도덕-고흥도로(투찰)_합덕-신례원(2공구)투찰_합덕-신례원(2공구)투찰_경찰서-터미널간도로(투찰)②_마현생창(동양고속) 2" xfId="1578"/>
    <cellStyle name="_대곡이설(투찰)_도덕-고흥도로(투찰)_합덕-신례원(2공구)투찰_합덕-신례원(2공구)투찰_경찰서-터미널간도로(투찰)②_마현생창(동양고속)_왜관-태평건설 2" xfId="1579"/>
    <cellStyle name="_대곡이설(투찰)_도덕-고흥도로(투찰)_합덕-신례원(2공구)투찰_합덕-신례원(2공구)투찰_경찰서-터미널간도로(투찰)②_왜관-태평건설 2" xfId="1580"/>
    <cellStyle name="_대곡이설(투찰)_도덕-고흥도로(투찰)_합덕-신례원(2공구)투찰_합덕-신례원(2공구)투찰_마현생창(동양고속) 2" xfId="1581"/>
    <cellStyle name="_대곡이설(투찰)_도덕-고흥도로(투찰)_합덕-신례원(2공구)투찰_합덕-신례원(2공구)투찰_마현생창(동양고속)_왜관-태평건설 2" xfId="1582"/>
    <cellStyle name="_대곡이설(투찰)_도덕-고흥도로(투찰)_합덕-신례원(2공구)투찰_합덕-신례원(2공구)투찰_봉무지방산업단지도로(투찰)② 2" xfId="1583"/>
    <cellStyle name="_대곡이설(투찰)_도덕-고흥도로(투찰)_합덕-신례원(2공구)투찰_합덕-신례원(2공구)투찰_봉무지방산업단지도로(투찰)②_마현생창(동양고속) 2" xfId="1584"/>
    <cellStyle name="_대곡이설(투찰)_도덕-고흥도로(투찰)_합덕-신례원(2공구)투찰_합덕-신례원(2공구)투찰_봉무지방산업단지도로(투찰)②_마현생창(동양고속)_왜관-태평건설 2" xfId="1585"/>
    <cellStyle name="_대곡이설(투찰)_도덕-고흥도로(투찰)_합덕-신례원(2공구)투찰_합덕-신례원(2공구)투찰_봉무지방산업단지도로(투찰)②_왜관-태평건설 2" xfId="1586"/>
    <cellStyle name="_대곡이설(투찰)_도덕-고흥도로(투찰)_합덕-신례원(2공구)투찰_합덕-신례원(2공구)투찰_봉무지방산업단지도로(투찰)②+0.250% 2" xfId="1587"/>
    <cellStyle name="_대곡이설(투찰)_도덕-고흥도로(투찰)_합덕-신례원(2공구)투찰_합덕-신례원(2공구)투찰_봉무지방산업단지도로(투찰)②+0.250%_마현생창(동양고속) 2" xfId="1588"/>
    <cellStyle name="_대곡이설(투찰)_도덕-고흥도로(투찰)_합덕-신례원(2공구)투찰_합덕-신례원(2공구)투찰_봉무지방산업단지도로(투찰)②+0.250%_마현생창(동양고속)_왜관-태평건설 2" xfId="1589"/>
    <cellStyle name="_대곡이설(투찰)_도덕-고흥도로(투찰)_합덕-신례원(2공구)투찰_합덕-신례원(2공구)투찰_봉무지방산업단지도로(투찰)②+0.250%_왜관-태평건설 2" xfId="1590"/>
    <cellStyle name="_대곡이설(투찰)_도덕-고흥도로(투찰)_합덕-신례원(2공구)투찰_합덕-신례원(2공구)투찰_왜관-태평건설 2" xfId="1591"/>
    <cellStyle name="_대곡이설(투찰)_마현생창(동양고속) 2" xfId="1592"/>
    <cellStyle name="_대곡이설(투찰)_마현생창(동양고속)_왜관-태평건설 2" xfId="1593"/>
    <cellStyle name="_대곡이설(투찰)_봉무지방산업단지도로(투찰)② 2" xfId="1594"/>
    <cellStyle name="_대곡이설(투찰)_봉무지방산업단지도로(투찰)②_마현생창(동양고속) 2" xfId="1595"/>
    <cellStyle name="_대곡이설(투찰)_봉무지방산업단지도로(투찰)②_마현생창(동양고속)_왜관-태평건설 2" xfId="1596"/>
    <cellStyle name="_대곡이설(투찰)_봉무지방산업단지도로(투찰)②_왜관-태평건설 2" xfId="1597"/>
    <cellStyle name="_대곡이설(투찰)_봉무지방산업단지도로(투찰)②+0.250% 2" xfId="1598"/>
    <cellStyle name="_대곡이설(투찰)_봉무지방산업단지도로(투찰)②+0.250%_마현생창(동양고속) 2" xfId="1599"/>
    <cellStyle name="_대곡이설(투찰)_봉무지방산업단지도로(투찰)②+0.250%_마현생창(동양고속)_왜관-태평건설 2" xfId="1600"/>
    <cellStyle name="_대곡이설(투찰)_봉무지방산업단지도로(투찰)②+0.250%_왜관-태평건설 2" xfId="1601"/>
    <cellStyle name="_대곡이설(투찰)_안산부대(투찰)⑤ 2" xfId="1602"/>
    <cellStyle name="_대곡이설(투찰)_안산부대(투찰)⑤_경찰서-터미널간도로(투찰)② 2" xfId="1603"/>
    <cellStyle name="_대곡이설(투찰)_안산부대(투찰)⑤_경찰서-터미널간도로(투찰)②_마현생창(동양고속) 2" xfId="1604"/>
    <cellStyle name="_대곡이설(투찰)_안산부대(투찰)⑤_경찰서-터미널간도로(투찰)②_마현생창(동양고속)_왜관-태평건설 2" xfId="1605"/>
    <cellStyle name="_대곡이설(투찰)_안산부대(투찰)⑤_경찰서-터미널간도로(투찰)②_왜관-태평건설 2" xfId="1606"/>
    <cellStyle name="_대곡이설(투찰)_안산부대(투찰)⑤_마현생창(동양고속) 2" xfId="1607"/>
    <cellStyle name="_대곡이설(투찰)_안산부대(투찰)⑤_마현생창(동양고속)_왜관-태평건설 2" xfId="1608"/>
    <cellStyle name="_대곡이설(투찰)_안산부대(투찰)⑤_봉무지방산업단지도로(투찰)② 2" xfId="1609"/>
    <cellStyle name="_대곡이설(투찰)_안산부대(투찰)⑤_봉무지방산업단지도로(투찰)②_마현생창(동양고속) 2" xfId="1610"/>
    <cellStyle name="_대곡이설(투찰)_안산부대(투찰)⑤_봉무지방산업단지도로(투찰)②_마현생창(동양고속)_왜관-태평건설 2" xfId="1611"/>
    <cellStyle name="_대곡이설(투찰)_안산부대(투찰)⑤_봉무지방산업단지도로(투찰)②_왜관-태평건설 2" xfId="1612"/>
    <cellStyle name="_대곡이설(투찰)_안산부대(투찰)⑤_봉무지방산업단지도로(투찰)②+0.250% 2" xfId="1613"/>
    <cellStyle name="_대곡이설(투찰)_안산부대(투찰)⑤_봉무지방산업단지도로(투찰)②+0.250%_마현생창(동양고속) 2" xfId="1614"/>
    <cellStyle name="_대곡이설(투찰)_안산부대(투찰)⑤_봉무지방산업단지도로(투찰)②+0.250%_마현생창(동양고속)_왜관-태평건설 2" xfId="1615"/>
    <cellStyle name="_대곡이설(투찰)_안산부대(투찰)⑤_봉무지방산업단지도로(투찰)②+0.250%_왜관-태평건설 2" xfId="1616"/>
    <cellStyle name="_대곡이설(투찰)_안산부대(투찰)⑤_왜관-태평건설 2" xfId="1617"/>
    <cellStyle name="_대곡이설(투찰)_안산부대(투찰)⑤_합덕-신례원(2공구)투찰 2" xfId="1618"/>
    <cellStyle name="_대곡이설(투찰)_안산부대(투찰)⑤_합덕-신례원(2공구)투찰_경찰서-터미널간도로(투찰)② 2" xfId="1619"/>
    <cellStyle name="_대곡이설(투찰)_안산부대(투찰)⑤_합덕-신례원(2공구)투찰_경찰서-터미널간도로(투찰)②_마현생창(동양고속) 2" xfId="1620"/>
    <cellStyle name="_대곡이설(투찰)_안산부대(투찰)⑤_합덕-신례원(2공구)투찰_경찰서-터미널간도로(투찰)②_마현생창(동양고속)_왜관-태평건설 2" xfId="1621"/>
    <cellStyle name="_대곡이설(투찰)_안산부대(투찰)⑤_합덕-신례원(2공구)투찰_경찰서-터미널간도로(투찰)②_왜관-태평건설 2" xfId="1622"/>
    <cellStyle name="_대곡이설(투찰)_안산부대(투찰)⑤_합덕-신례원(2공구)투찰_마현생창(동양고속) 2" xfId="1623"/>
    <cellStyle name="_대곡이설(투찰)_안산부대(투찰)⑤_합덕-신례원(2공구)투찰_마현생창(동양고속)_왜관-태평건설 2" xfId="1624"/>
    <cellStyle name="_대곡이설(투찰)_안산부대(투찰)⑤_합덕-신례원(2공구)투찰_봉무지방산업단지도로(투찰)② 2" xfId="1625"/>
    <cellStyle name="_대곡이설(투찰)_안산부대(투찰)⑤_합덕-신례원(2공구)투찰_봉무지방산업단지도로(투찰)②_마현생창(동양고속) 2" xfId="1626"/>
    <cellStyle name="_대곡이설(투찰)_안산부대(투찰)⑤_합덕-신례원(2공구)투찰_봉무지방산업단지도로(투찰)②_마현생창(동양고속)_왜관-태평건설 2" xfId="1627"/>
    <cellStyle name="_대곡이설(투찰)_안산부대(투찰)⑤_합덕-신례원(2공구)투찰_봉무지방산업단지도로(투찰)②_왜관-태평건설 2" xfId="1628"/>
    <cellStyle name="_대곡이설(투찰)_안산부대(투찰)⑤_합덕-신례원(2공구)투찰_봉무지방산업단지도로(투찰)②+0.250% 2" xfId="1629"/>
    <cellStyle name="_대곡이설(투찰)_안산부대(투찰)⑤_합덕-신례원(2공구)투찰_봉무지방산업단지도로(투찰)②+0.250%_마현생창(동양고속) 2" xfId="1630"/>
    <cellStyle name="_대곡이설(투찰)_안산부대(투찰)⑤_합덕-신례원(2공구)투찰_봉무지방산업단지도로(투찰)②+0.250%_마현생창(동양고속)_왜관-태평건설 2" xfId="1631"/>
    <cellStyle name="_대곡이설(투찰)_안산부대(투찰)⑤_합덕-신례원(2공구)투찰_봉무지방산업단지도로(투찰)②+0.250%_왜관-태평건설 2" xfId="1632"/>
    <cellStyle name="_대곡이설(투찰)_안산부대(투찰)⑤_합덕-신례원(2공구)투찰_왜관-태평건설 2" xfId="1633"/>
    <cellStyle name="_대곡이설(투찰)_안산부대(투찰)⑤_합덕-신례원(2공구)투찰_합덕-신례원(2공구)투찰 2" xfId="1634"/>
    <cellStyle name="_대곡이설(투찰)_안산부대(투찰)⑤_합덕-신례원(2공구)투찰_합덕-신례원(2공구)투찰_경찰서-터미널간도로(투찰)② 2" xfId="1635"/>
    <cellStyle name="_대곡이설(투찰)_안산부대(투찰)⑤_합덕-신례원(2공구)투찰_합덕-신례원(2공구)투찰_경찰서-터미널간도로(투찰)②_마현생창(동양고속) 2" xfId="1636"/>
    <cellStyle name="_대곡이설(투찰)_안산부대(투찰)⑤_합덕-신례원(2공구)투찰_합덕-신례원(2공구)투찰_경찰서-터미널간도로(투찰)②_마현생창(동양고속)_왜관-태평건설 2" xfId="1637"/>
    <cellStyle name="_대곡이설(투찰)_안산부대(투찰)⑤_합덕-신례원(2공구)투찰_합덕-신례원(2공구)투찰_경찰서-터미널간도로(투찰)②_왜관-태평건설 2" xfId="1638"/>
    <cellStyle name="_대곡이설(투찰)_안산부대(투찰)⑤_합덕-신례원(2공구)투찰_합덕-신례원(2공구)투찰_마현생창(동양고속) 2" xfId="1639"/>
    <cellStyle name="_대곡이설(투찰)_안산부대(투찰)⑤_합덕-신례원(2공구)투찰_합덕-신례원(2공구)투찰_마현생창(동양고속)_왜관-태평건설 2" xfId="1640"/>
    <cellStyle name="_대곡이설(투찰)_안산부대(투찰)⑤_합덕-신례원(2공구)투찰_합덕-신례원(2공구)투찰_봉무지방산업단지도로(투찰)② 2" xfId="1641"/>
    <cellStyle name="_대곡이설(투찰)_안산부대(투찰)⑤_합덕-신례원(2공구)투찰_합덕-신례원(2공구)투찰_봉무지방산업단지도로(투찰)②_마현생창(동양고속) 2" xfId="1642"/>
    <cellStyle name="_대곡이설(투찰)_안산부대(투찰)⑤_합덕-신례원(2공구)투찰_합덕-신례원(2공구)투찰_봉무지방산업단지도로(투찰)②_마현생창(동양고속)_왜관-태평건설 2" xfId="1643"/>
    <cellStyle name="_대곡이설(투찰)_안산부대(투찰)⑤_합덕-신례원(2공구)투찰_합덕-신례원(2공구)투찰_봉무지방산업단지도로(투찰)②_왜관-태평건설 2" xfId="1644"/>
    <cellStyle name="_대곡이설(투찰)_안산부대(투찰)⑤_합덕-신례원(2공구)투찰_합덕-신례원(2공구)투찰_봉무지방산업단지도로(투찰)②+0.250% 2" xfId="1645"/>
    <cellStyle name="_대곡이설(투찰)_안산부대(투찰)⑤_합덕-신례원(2공구)투찰_합덕-신례원(2공구)투찰_봉무지방산업단지도로(투찰)②+0.250%_마현생창(동양고속) 2" xfId="1646"/>
    <cellStyle name="_대곡이설(투찰)_안산부대(투찰)⑤_합덕-신례원(2공구)투찰_합덕-신례원(2공구)투찰_봉무지방산업단지도로(투찰)②+0.250%_마현생창(동양고속)_왜관-태평건설 2" xfId="1647"/>
    <cellStyle name="_대곡이설(투찰)_안산부대(투찰)⑤_합덕-신례원(2공구)투찰_합덕-신례원(2공구)투찰_봉무지방산업단지도로(투찰)②+0.250%_왜관-태평건설 2" xfId="1648"/>
    <cellStyle name="_대곡이설(투찰)_안산부대(투찰)⑤_합덕-신례원(2공구)투찰_합덕-신례원(2공구)투찰_왜관-태평건설 2" xfId="1649"/>
    <cellStyle name="_대곡이설(투찰)_양곡부두(투찰)-0.31% 2" xfId="1650"/>
    <cellStyle name="_대곡이설(투찰)_양곡부두(투찰)-0.31%_경찰서-터미널간도로(투찰)② 2" xfId="1651"/>
    <cellStyle name="_대곡이설(투찰)_양곡부두(투찰)-0.31%_경찰서-터미널간도로(투찰)②_마현생창(동양고속) 2" xfId="1652"/>
    <cellStyle name="_대곡이설(투찰)_양곡부두(투찰)-0.31%_경찰서-터미널간도로(투찰)②_마현생창(동양고속)_왜관-태평건설 2" xfId="1653"/>
    <cellStyle name="_대곡이설(투찰)_양곡부두(투찰)-0.31%_경찰서-터미널간도로(투찰)②_왜관-태평건설 2" xfId="1654"/>
    <cellStyle name="_대곡이설(투찰)_양곡부두(투찰)-0.31%_마현생창(동양고속) 2" xfId="1655"/>
    <cellStyle name="_대곡이설(투찰)_양곡부두(투찰)-0.31%_마현생창(동양고속)_왜관-태평건설 2" xfId="1656"/>
    <cellStyle name="_대곡이설(투찰)_양곡부두(투찰)-0.31%_봉무지방산업단지도로(투찰)② 2" xfId="1657"/>
    <cellStyle name="_대곡이설(투찰)_양곡부두(투찰)-0.31%_봉무지방산업단지도로(투찰)②_마현생창(동양고속) 2" xfId="1658"/>
    <cellStyle name="_대곡이설(투찰)_양곡부두(투찰)-0.31%_봉무지방산업단지도로(투찰)②_마현생창(동양고속)_왜관-태평건설 2" xfId="1659"/>
    <cellStyle name="_대곡이설(투찰)_양곡부두(투찰)-0.31%_봉무지방산업단지도로(투찰)②_왜관-태평건설 2" xfId="1660"/>
    <cellStyle name="_대곡이설(투찰)_양곡부두(투찰)-0.31%_봉무지방산업단지도로(투찰)②+0.250% 2" xfId="1661"/>
    <cellStyle name="_대곡이설(투찰)_양곡부두(투찰)-0.31%_봉무지방산업단지도로(투찰)②+0.250%_마현생창(동양고속) 2" xfId="1662"/>
    <cellStyle name="_대곡이설(투찰)_양곡부두(투찰)-0.31%_봉무지방산업단지도로(투찰)②+0.250%_마현생창(동양고속)_왜관-태평건설 2" xfId="1663"/>
    <cellStyle name="_대곡이설(투찰)_양곡부두(투찰)-0.31%_봉무지방산업단지도로(투찰)②+0.250%_왜관-태평건설 2" xfId="1664"/>
    <cellStyle name="_대곡이설(투찰)_양곡부두(투찰)-0.31%_왜관-태평건설 2" xfId="1665"/>
    <cellStyle name="_대곡이설(투찰)_양곡부두(투찰)-0.31%_합덕-신례원(2공구)투찰 2" xfId="1666"/>
    <cellStyle name="_대곡이설(투찰)_양곡부두(투찰)-0.31%_합덕-신례원(2공구)투찰_경찰서-터미널간도로(투찰)② 2" xfId="1667"/>
    <cellStyle name="_대곡이설(투찰)_양곡부두(투찰)-0.31%_합덕-신례원(2공구)투찰_경찰서-터미널간도로(투찰)②_마현생창(동양고속) 2" xfId="1668"/>
    <cellStyle name="_대곡이설(투찰)_양곡부두(투찰)-0.31%_합덕-신례원(2공구)투찰_경찰서-터미널간도로(투찰)②_마현생창(동양고속)_왜관-태평건설 2" xfId="1669"/>
    <cellStyle name="_대곡이설(투찰)_양곡부두(투찰)-0.31%_합덕-신례원(2공구)투찰_경찰서-터미널간도로(투찰)②_왜관-태평건설 2" xfId="1670"/>
    <cellStyle name="_대곡이설(투찰)_양곡부두(투찰)-0.31%_합덕-신례원(2공구)투찰_마현생창(동양고속) 2" xfId="1671"/>
    <cellStyle name="_대곡이설(투찰)_양곡부두(투찰)-0.31%_합덕-신례원(2공구)투찰_마현생창(동양고속)_왜관-태평건설 2" xfId="1672"/>
    <cellStyle name="_대곡이설(투찰)_양곡부두(투찰)-0.31%_합덕-신례원(2공구)투찰_봉무지방산업단지도로(투찰)② 2" xfId="1673"/>
    <cellStyle name="_대곡이설(투찰)_양곡부두(투찰)-0.31%_합덕-신례원(2공구)투찰_봉무지방산업단지도로(투찰)②_마현생창(동양고속) 2" xfId="1674"/>
    <cellStyle name="_대곡이설(투찰)_양곡부두(투찰)-0.31%_합덕-신례원(2공구)투찰_봉무지방산업단지도로(투찰)②_마현생창(동양고속)_왜관-태평건설 2" xfId="1675"/>
    <cellStyle name="_대곡이설(투찰)_양곡부두(투찰)-0.31%_합덕-신례원(2공구)투찰_봉무지방산업단지도로(투찰)②_왜관-태평건설 2" xfId="1676"/>
    <cellStyle name="_대곡이설(투찰)_양곡부두(투찰)-0.31%_합덕-신례원(2공구)투찰_봉무지방산업단지도로(투찰)②+0.250% 2" xfId="1677"/>
    <cellStyle name="_대곡이설(투찰)_양곡부두(투찰)-0.31%_합덕-신례원(2공구)투찰_봉무지방산업단지도로(투찰)②+0.250%_마현생창(동양고속) 2" xfId="1678"/>
    <cellStyle name="_대곡이설(투찰)_양곡부두(투찰)-0.31%_합덕-신례원(2공구)투찰_봉무지방산업단지도로(투찰)②+0.250%_마현생창(동양고속)_왜관-태평건설 2" xfId="1679"/>
    <cellStyle name="_대곡이설(투찰)_양곡부두(투찰)-0.31%_합덕-신례원(2공구)투찰_봉무지방산업단지도로(투찰)②+0.250%_왜관-태평건설 2" xfId="1680"/>
    <cellStyle name="_대곡이설(투찰)_양곡부두(투찰)-0.31%_합덕-신례원(2공구)투찰_왜관-태평건설 2" xfId="1681"/>
    <cellStyle name="_대곡이설(투찰)_양곡부두(투찰)-0.31%_합덕-신례원(2공구)투찰_합덕-신례원(2공구)투찰 2" xfId="1682"/>
    <cellStyle name="_대곡이설(투찰)_양곡부두(투찰)-0.31%_합덕-신례원(2공구)투찰_합덕-신례원(2공구)투찰_경찰서-터미널간도로(투찰)② 2" xfId="1683"/>
    <cellStyle name="_대곡이설(투찰)_양곡부두(투찰)-0.31%_합덕-신례원(2공구)투찰_합덕-신례원(2공구)투찰_경찰서-터미널간도로(투찰)②_마현생창(동양고속) 2" xfId="1684"/>
    <cellStyle name="_대곡이설(투찰)_양곡부두(투찰)-0.31%_합덕-신례원(2공구)투찰_합덕-신례원(2공구)투찰_경찰서-터미널간도로(투찰)②_마현생창(동양고속)_왜관-태평건설 2" xfId="1685"/>
    <cellStyle name="_대곡이설(투찰)_양곡부두(투찰)-0.31%_합덕-신례원(2공구)투찰_합덕-신례원(2공구)투찰_경찰서-터미널간도로(투찰)②_왜관-태평건설 2" xfId="1686"/>
    <cellStyle name="_대곡이설(투찰)_양곡부두(투찰)-0.31%_합덕-신례원(2공구)투찰_합덕-신례원(2공구)투찰_마현생창(동양고속) 2" xfId="1687"/>
    <cellStyle name="_대곡이설(투찰)_양곡부두(투찰)-0.31%_합덕-신례원(2공구)투찰_합덕-신례원(2공구)투찰_마현생창(동양고속)_왜관-태평건설 2" xfId="1688"/>
    <cellStyle name="_대곡이설(투찰)_양곡부두(투찰)-0.31%_합덕-신례원(2공구)투찰_합덕-신례원(2공구)투찰_봉무지방산업단지도로(투찰)② 2" xfId="1689"/>
    <cellStyle name="_대곡이설(투찰)_양곡부두(투찰)-0.31%_합덕-신례원(2공구)투찰_합덕-신례원(2공구)투찰_봉무지방산업단지도로(투찰)②_마현생창(동양고속) 2" xfId="1690"/>
    <cellStyle name="_대곡이설(투찰)_양곡부두(투찰)-0.31%_합덕-신례원(2공구)투찰_합덕-신례원(2공구)투찰_봉무지방산업단지도로(투찰)②_마현생창(동양고속)_왜관-태평건설 2" xfId="1691"/>
    <cellStyle name="_대곡이설(투찰)_양곡부두(투찰)-0.31%_합덕-신례원(2공구)투찰_합덕-신례원(2공구)투찰_봉무지방산업단지도로(투찰)②_왜관-태평건설 2" xfId="1692"/>
    <cellStyle name="_대곡이설(투찰)_양곡부두(투찰)-0.31%_합덕-신례원(2공구)투찰_합덕-신례원(2공구)투찰_봉무지방산업단지도로(투찰)②+0.250% 2" xfId="1693"/>
    <cellStyle name="_대곡이설(투찰)_양곡부두(투찰)-0.31%_합덕-신례원(2공구)투찰_합덕-신례원(2공구)투찰_봉무지방산업단지도로(투찰)②+0.250%_마현생창(동양고속) 2" xfId="1694"/>
    <cellStyle name="_대곡이설(투찰)_양곡부두(투찰)-0.31%_합덕-신례원(2공구)투찰_합덕-신례원(2공구)투찰_봉무지방산업단지도로(투찰)②+0.250%_마현생창(동양고속)_왜관-태평건설 2" xfId="1695"/>
    <cellStyle name="_대곡이설(투찰)_양곡부두(투찰)-0.31%_합덕-신례원(2공구)투찰_합덕-신례원(2공구)투찰_봉무지방산업단지도로(투찰)②+0.250%_왜관-태평건설 2" xfId="1696"/>
    <cellStyle name="_대곡이설(투찰)_양곡부두(투찰)-0.31%_합덕-신례원(2공구)투찰_합덕-신례원(2공구)투찰_왜관-태평건설 2" xfId="1697"/>
    <cellStyle name="_대곡이설(투찰)_왜관-태평건설 2" xfId="1698"/>
    <cellStyle name="_대곡이설(투찰)_창원상수도(토목)투찰 2" xfId="1699"/>
    <cellStyle name="_대곡이설(투찰)_창원상수도(토목)투찰_경찰서-터미널간도로(투찰)② 2" xfId="1700"/>
    <cellStyle name="_대곡이설(투찰)_창원상수도(토목)투찰_경찰서-터미널간도로(투찰)②_마현생창(동양고속) 2" xfId="1701"/>
    <cellStyle name="_대곡이설(투찰)_창원상수도(토목)투찰_경찰서-터미널간도로(투찰)②_마현생창(동양고속)_왜관-태평건설 2" xfId="1702"/>
    <cellStyle name="_대곡이설(투찰)_창원상수도(토목)투찰_경찰서-터미널간도로(투찰)②_왜관-태평건설 2" xfId="1703"/>
    <cellStyle name="_대곡이설(투찰)_창원상수도(토목)투찰_마현생창(동양고속) 2" xfId="1704"/>
    <cellStyle name="_대곡이설(투찰)_창원상수도(토목)투찰_마현생창(동양고속)_왜관-태평건설 2" xfId="1705"/>
    <cellStyle name="_대곡이설(투찰)_창원상수도(토목)투찰_봉무지방산업단지도로(투찰)② 2" xfId="1706"/>
    <cellStyle name="_대곡이설(투찰)_창원상수도(토목)투찰_봉무지방산업단지도로(투찰)②_마현생창(동양고속) 2" xfId="1707"/>
    <cellStyle name="_대곡이설(투찰)_창원상수도(토목)투찰_봉무지방산업단지도로(투찰)②_마현생창(동양고속)_왜관-태평건설 2" xfId="1708"/>
    <cellStyle name="_대곡이설(투찰)_창원상수도(토목)투찰_봉무지방산업단지도로(투찰)②_왜관-태평건설 2" xfId="1709"/>
    <cellStyle name="_대곡이설(투찰)_창원상수도(토목)투찰_봉무지방산업단지도로(투찰)②+0.250% 2" xfId="1710"/>
    <cellStyle name="_대곡이설(투찰)_창원상수도(토목)투찰_봉무지방산업단지도로(투찰)②+0.250%_마현생창(동양고속) 2" xfId="1711"/>
    <cellStyle name="_대곡이설(투찰)_창원상수도(토목)투찰_봉무지방산업단지도로(투찰)②+0.250%_마현생창(동양고속)_왜관-태평건설 2" xfId="1712"/>
    <cellStyle name="_대곡이설(투찰)_창원상수도(토목)투찰_봉무지방산업단지도로(투찰)②+0.250%_왜관-태평건설 2" xfId="1713"/>
    <cellStyle name="_대곡이설(투찰)_창원상수도(토목)투찰_왜관-태평건설 2" xfId="1714"/>
    <cellStyle name="_대곡이설(투찰)_창원상수도(토목)투찰_합덕-신례원(2공구)투찰 2" xfId="1715"/>
    <cellStyle name="_대곡이설(투찰)_창원상수도(토목)투찰_합덕-신례원(2공구)투찰_경찰서-터미널간도로(투찰)② 2" xfId="1716"/>
    <cellStyle name="_대곡이설(투찰)_창원상수도(토목)투찰_합덕-신례원(2공구)투찰_경찰서-터미널간도로(투찰)②_마현생창(동양고속) 2" xfId="1717"/>
    <cellStyle name="_대곡이설(투찰)_창원상수도(토목)투찰_합덕-신례원(2공구)투찰_경찰서-터미널간도로(투찰)②_마현생창(동양고속)_왜관-태평건설 2" xfId="1718"/>
    <cellStyle name="_대곡이설(투찰)_창원상수도(토목)투찰_합덕-신례원(2공구)투찰_경찰서-터미널간도로(투찰)②_왜관-태평건설 2" xfId="1719"/>
    <cellStyle name="_대곡이설(투찰)_창원상수도(토목)투찰_합덕-신례원(2공구)투찰_마현생창(동양고속) 2" xfId="1720"/>
    <cellStyle name="_대곡이설(투찰)_창원상수도(토목)투찰_합덕-신례원(2공구)투찰_마현생창(동양고속)_왜관-태평건설 2" xfId="1721"/>
    <cellStyle name="_대곡이설(투찰)_창원상수도(토목)투찰_합덕-신례원(2공구)투찰_봉무지방산업단지도로(투찰)② 2" xfId="1722"/>
    <cellStyle name="_대곡이설(투찰)_창원상수도(토목)투찰_합덕-신례원(2공구)투찰_봉무지방산업단지도로(투찰)②_마현생창(동양고속) 2" xfId="1723"/>
    <cellStyle name="_대곡이설(투찰)_창원상수도(토목)투찰_합덕-신례원(2공구)투찰_봉무지방산업단지도로(투찰)②_마현생창(동양고속)_왜관-태평건설 2" xfId="1724"/>
    <cellStyle name="_대곡이설(투찰)_창원상수도(토목)투찰_합덕-신례원(2공구)투찰_봉무지방산업단지도로(투찰)②_왜관-태평건설 2" xfId="1725"/>
    <cellStyle name="_대곡이설(투찰)_창원상수도(토목)투찰_합덕-신례원(2공구)투찰_봉무지방산업단지도로(투찰)②+0.250% 2" xfId="1726"/>
    <cellStyle name="_대곡이설(투찰)_창원상수도(토목)투찰_합덕-신례원(2공구)투찰_봉무지방산업단지도로(투찰)②+0.250%_마현생창(동양고속) 2" xfId="1727"/>
    <cellStyle name="_대곡이설(투찰)_창원상수도(토목)투찰_합덕-신례원(2공구)투찰_봉무지방산업단지도로(투찰)②+0.250%_마현생창(동양고속)_왜관-태평건설 2" xfId="1728"/>
    <cellStyle name="_대곡이설(투찰)_창원상수도(토목)투찰_합덕-신례원(2공구)투찰_봉무지방산업단지도로(투찰)②+0.250%_왜관-태평건설 2" xfId="1729"/>
    <cellStyle name="_대곡이설(투찰)_창원상수도(토목)투찰_합덕-신례원(2공구)투찰_왜관-태평건설 2" xfId="1730"/>
    <cellStyle name="_대곡이설(투찰)_창원상수도(토목)투찰_합덕-신례원(2공구)투찰_합덕-신례원(2공구)투찰 2" xfId="1731"/>
    <cellStyle name="_대곡이설(투찰)_창원상수도(토목)투찰_합덕-신례원(2공구)투찰_합덕-신례원(2공구)투찰_경찰서-터미널간도로(투찰)② 2" xfId="1732"/>
    <cellStyle name="_대곡이설(투찰)_창원상수도(토목)투찰_합덕-신례원(2공구)투찰_합덕-신례원(2공구)투찰_경찰서-터미널간도로(투찰)②_마현생창(동양고속) 2" xfId="1733"/>
    <cellStyle name="_대곡이설(투찰)_창원상수도(토목)투찰_합덕-신례원(2공구)투찰_합덕-신례원(2공구)투찰_경찰서-터미널간도로(투찰)②_마현생창(동양고속)_왜관-태평건설 2" xfId="1734"/>
    <cellStyle name="_대곡이설(투찰)_창원상수도(토목)투찰_합덕-신례원(2공구)투찰_합덕-신례원(2공구)투찰_경찰서-터미널간도로(투찰)②_왜관-태평건설 2" xfId="1735"/>
    <cellStyle name="_대곡이설(투찰)_창원상수도(토목)투찰_합덕-신례원(2공구)투찰_합덕-신례원(2공구)투찰_마현생창(동양고속) 2" xfId="1736"/>
    <cellStyle name="_대곡이설(투찰)_창원상수도(토목)투찰_합덕-신례원(2공구)투찰_합덕-신례원(2공구)투찰_마현생창(동양고속)_왜관-태평건설 2" xfId="1737"/>
    <cellStyle name="_대곡이설(투찰)_창원상수도(토목)투찰_합덕-신례원(2공구)투찰_합덕-신례원(2공구)투찰_봉무지방산업단지도로(투찰)② 2" xfId="1738"/>
    <cellStyle name="_대곡이설(투찰)_창원상수도(토목)투찰_합덕-신례원(2공구)투찰_합덕-신례원(2공구)투찰_봉무지방산업단지도로(투찰)②_마현생창(동양고속) 2" xfId="1739"/>
    <cellStyle name="_대곡이설(투찰)_창원상수도(토목)투찰_합덕-신례원(2공구)투찰_합덕-신례원(2공구)투찰_봉무지방산업단지도로(투찰)②_마현생창(동양고속)_왜관-태평건설 2" xfId="1740"/>
    <cellStyle name="_대곡이설(투찰)_창원상수도(토목)투찰_합덕-신례원(2공구)투찰_합덕-신례원(2공구)투찰_봉무지방산업단지도로(투찰)②_왜관-태평건설 2" xfId="1741"/>
    <cellStyle name="_대곡이설(투찰)_창원상수도(토목)투찰_합덕-신례원(2공구)투찰_합덕-신례원(2공구)투찰_봉무지방산업단지도로(투찰)②+0.250% 2" xfId="1742"/>
    <cellStyle name="_대곡이설(투찰)_창원상수도(토목)투찰_합덕-신례원(2공구)투찰_합덕-신례원(2공구)투찰_봉무지방산업단지도로(투찰)②+0.250%_마현생창(동양고속) 2" xfId="1743"/>
    <cellStyle name="_대곡이설(투찰)_창원상수도(토목)투찰_합덕-신례원(2공구)투찰_합덕-신례원(2공구)투찰_봉무지방산업단지도로(투찰)②+0.250%_마현생창(동양고속)_왜관-태평건설 2" xfId="1744"/>
    <cellStyle name="_대곡이설(투찰)_창원상수도(토목)투찰_합덕-신례원(2공구)투찰_합덕-신례원(2공구)투찰_봉무지방산업단지도로(투찰)②+0.250%_왜관-태평건설 2" xfId="1745"/>
    <cellStyle name="_대곡이설(투찰)_창원상수도(토목)투찰_합덕-신례원(2공구)투찰_합덕-신례원(2공구)투찰_왜관-태평건설 2" xfId="1746"/>
    <cellStyle name="_대곡이설(투찰)_합덕-신례원(2공구)투찰 2" xfId="1747"/>
    <cellStyle name="_대곡이설(투찰)_합덕-신례원(2공구)투찰_경찰서-터미널간도로(투찰)② 2" xfId="1748"/>
    <cellStyle name="_대곡이설(투찰)_합덕-신례원(2공구)투찰_경찰서-터미널간도로(투찰)②_마현생창(동양고속) 2" xfId="1749"/>
    <cellStyle name="_대곡이설(투찰)_합덕-신례원(2공구)투찰_경찰서-터미널간도로(투찰)②_마현생창(동양고속)_왜관-태평건설 2" xfId="1750"/>
    <cellStyle name="_대곡이설(투찰)_합덕-신례원(2공구)투찰_경찰서-터미널간도로(투찰)②_왜관-태평건설 2" xfId="1751"/>
    <cellStyle name="_대곡이설(투찰)_합덕-신례원(2공구)투찰_마현생창(동양고속) 2" xfId="1752"/>
    <cellStyle name="_대곡이설(투찰)_합덕-신례원(2공구)투찰_마현생창(동양고속)_왜관-태평건설 2" xfId="1753"/>
    <cellStyle name="_대곡이설(투찰)_합덕-신례원(2공구)투찰_봉무지방산업단지도로(투찰)② 2" xfId="1754"/>
    <cellStyle name="_대곡이설(투찰)_합덕-신례원(2공구)투찰_봉무지방산업단지도로(투찰)②_마현생창(동양고속) 2" xfId="1755"/>
    <cellStyle name="_대곡이설(투찰)_합덕-신례원(2공구)투찰_봉무지방산업단지도로(투찰)②_마현생창(동양고속)_왜관-태평건설 2" xfId="1756"/>
    <cellStyle name="_대곡이설(투찰)_합덕-신례원(2공구)투찰_봉무지방산업단지도로(투찰)②_왜관-태평건설 2" xfId="1757"/>
    <cellStyle name="_대곡이설(투찰)_합덕-신례원(2공구)투찰_봉무지방산업단지도로(투찰)②+0.250% 2" xfId="1758"/>
    <cellStyle name="_대곡이설(투찰)_합덕-신례원(2공구)투찰_봉무지방산업단지도로(투찰)②+0.250%_마현생창(동양고속) 2" xfId="1759"/>
    <cellStyle name="_대곡이설(투찰)_합덕-신례원(2공구)투찰_봉무지방산업단지도로(투찰)②+0.250%_마현생창(동양고속)_왜관-태평건설 2" xfId="1760"/>
    <cellStyle name="_대곡이설(투찰)_합덕-신례원(2공구)투찰_봉무지방산업단지도로(투찰)②+0.250%_왜관-태평건설 2" xfId="1761"/>
    <cellStyle name="_대곡이설(투찰)_합덕-신례원(2공구)투찰_왜관-태평건설 2" xfId="1762"/>
    <cellStyle name="_대곡이설(투찰)_합덕-신례원(2공구)투찰_합덕-신례원(2공구)투찰 2" xfId="1763"/>
    <cellStyle name="_대곡이설(투찰)_합덕-신례원(2공구)투찰_합덕-신례원(2공구)투찰_경찰서-터미널간도로(투찰)② 2" xfId="1764"/>
    <cellStyle name="_대곡이설(투찰)_합덕-신례원(2공구)투찰_합덕-신례원(2공구)투찰_경찰서-터미널간도로(투찰)②_마현생창(동양고속) 2" xfId="1765"/>
    <cellStyle name="_대곡이설(투찰)_합덕-신례원(2공구)투찰_합덕-신례원(2공구)투찰_경찰서-터미널간도로(투찰)②_마현생창(동양고속)_왜관-태평건설 2" xfId="1766"/>
    <cellStyle name="_대곡이설(투찰)_합덕-신례원(2공구)투찰_합덕-신례원(2공구)투찰_경찰서-터미널간도로(투찰)②_왜관-태평건설 2" xfId="1767"/>
    <cellStyle name="_대곡이설(투찰)_합덕-신례원(2공구)투찰_합덕-신례원(2공구)투찰_마현생창(동양고속) 2" xfId="1768"/>
    <cellStyle name="_대곡이설(투찰)_합덕-신례원(2공구)투찰_합덕-신례원(2공구)투찰_마현생창(동양고속)_왜관-태평건설 2" xfId="1769"/>
    <cellStyle name="_대곡이설(투찰)_합덕-신례원(2공구)투찰_합덕-신례원(2공구)투찰_봉무지방산업단지도로(투찰)② 2" xfId="1770"/>
    <cellStyle name="_대곡이설(투찰)_합덕-신례원(2공구)투찰_합덕-신례원(2공구)투찰_봉무지방산업단지도로(투찰)②_마현생창(동양고속) 2" xfId="1771"/>
    <cellStyle name="_대곡이설(투찰)_합덕-신례원(2공구)투찰_합덕-신례원(2공구)투찰_봉무지방산업단지도로(투찰)②_마현생창(동양고속)_왜관-태평건설 2" xfId="1772"/>
    <cellStyle name="_대곡이설(투찰)_합덕-신례원(2공구)투찰_합덕-신례원(2공구)투찰_봉무지방산업단지도로(투찰)②_왜관-태평건설 2" xfId="1773"/>
    <cellStyle name="_대곡이설(투찰)_합덕-신례원(2공구)투찰_합덕-신례원(2공구)투찰_봉무지방산업단지도로(투찰)②+0.250% 2" xfId="1774"/>
    <cellStyle name="_대곡이설(투찰)_합덕-신례원(2공구)투찰_합덕-신례원(2공구)투찰_봉무지방산업단지도로(투찰)②+0.250%_마현생창(동양고속) 2" xfId="1775"/>
    <cellStyle name="_대곡이설(투찰)_합덕-신례원(2공구)투찰_합덕-신례원(2공구)투찰_봉무지방산업단지도로(투찰)②+0.250%_마현생창(동양고속)_왜관-태평건설 2" xfId="1776"/>
    <cellStyle name="_대곡이설(투찰)_합덕-신례원(2공구)투찰_합덕-신례원(2공구)투찰_봉무지방산업단지도로(투찰)②+0.250%_왜관-태평건설 2" xfId="1777"/>
    <cellStyle name="_대곡이설(투찰)_합덕-신례원(2공구)투찰_합덕-신례원(2공구)투찰_왜관-태평건설 2" xfId="1778"/>
    <cellStyle name="_도고천품의안11 2" xfId="1779"/>
    <cellStyle name="_도고천품의안11_1 2" xfId="1780"/>
    <cellStyle name="_도고천품의안11_광주평동투찰 2" xfId="1781"/>
    <cellStyle name="_도고천품의안11_광주평동품의1 2" xfId="1782"/>
    <cellStyle name="_도고천품의안11_송학하수품의(설계넣고) 2" xfId="1783"/>
    <cellStyle name="_명암지도로투찰2 2" xfId="1784"/>
    <cellStyle name="_무창(전자입찰용) 2" xfId="1785"/>
    <cellStyle name="_무창(전자입찰용)_왜관-태평건설 2" xfId="1786"/>
    <cellStyle name="_부대입찰양식② 2" xfId="1787"/>
    <cellStyle name="_부대입찰양식②_경찰서-터미널간도로(투찰)② 2" xfId="1788"/>
    <cellStyle name="_부대입찰양식②_경찰서-터미널간도로(투찰)②_마현생창(동양고속) 2" xfId="1789"/>
    <cellStyle name="_부대입찰양식②_경찰서-터미널간도로(투찰)②_마현생창(동양고속)_왜관-태평건설 2" xfId="1790"/>
    <cellStyle name="_부대입찰양식②_경찰서-터미널간도로(투찰)②_왜관-태평건설 2" xfId="1791"/>
    <cellStyle name="_부대입찰양식②_마현생창(동양고속) 2" xfId="1792"/>
    <cellStyle name="_부대입찰양식②_마현생창(동양고속)_왜관-태평건설 2" xfId="1793"/>
    <cellStyle name="_부대입찰양식②_봉무지방산업단지도로(투찰)② 2" xfId="1794"/>
    <cellStyle name="_부대입찰양식②_봉무지방산업단지도로(투찰)②_마현생창(동양고속) 2" xfId="1795"/>
    <cellStyle name="_부대입찰양식②_봉무지방산업단지도로(투찰)②_마현생창(동양고속)_왜관-태평건설 2" xfId="1796"/>
    <cellStyle name="_부대입찰양식②_봉무지방산업단지도로(투찰)②_왜관-태평건설 2" xfId="1797"/>
    <cellStyle name="_부대입찰양식②_봉무지방산업단지도로(투찰)②+0.250% 2" xfId="1798"/>
    <cellStyle name="_부대입찰양식②_봉무지방산업단지도로(투찰)②+0.250%_마현생창(동양고속) 2" xfId="1799"/>
    <cellStyle name="_부대입찰양식②_봉무지방산업단지도로(투찰)②+0.250%_마현생창(동양고속)_왜관-태평건설 2" xfId="1800"/>
    <cellStyle name="_부대입찰양식②_봉무지방산업단지도로(투찰)②+0.250%_왜관-태평건설 2" xfId="1801"/>
    <cellStyle name="_부대입찰양식②_왜관-태평건설 2" xfId="1802"/>
    <cellStyle name="_부대입찰양식②_합덕-신례원(2공구)투찰 2" xfId="1803"/>
    <cellStyle name="_부대입찰양식②_합덕-신례원(2공구)투찰_경찰서-터미널간도로(투찰)② 2" xfId="1804"/>
    <cellStyle name="_부대입찰양식②_합덕-신례원(2공구)투찰_경찰서-터미널간도로(투찰)②_마현생창(동양고속) 2" xfId="1805"/>
    <cellStyle name="_부대입찰양식②_합덕-신례원(2공구)투찰_경찰서-터미널간도로(투찰)②_마현생창(동양고속)_왜관-태평건설 2" xfId="1806"/>
    <cellStyle name="_부대입찰양식②_합덕-신례원(2공구)투찰_경찰서-터미널간도로(투찰)②_왜관-태평건설 2" xfId="1807"/>
    <cellStyle name="_부대입찰양식②_합덕-신례원(2공구)투찰_마현생창(동양고속) 2" xfId="1808"/>
    <cellStyle name="_부대입찰양식②_합덕-신례원(2공구)투찰_마현생창(동양고속)_왜관-태평건설 2" xfId="1809"/>
    <cellStyle name="_부대입찰양식②_합덕-신례원(2공구)투찰_봉무지방산업단지도로(투찰)② 2" xfId="1810"/>
    <cellStyle name="_부대입찰양식②_합덕-신례원(2공구)투찰_봉무지방산업단지도로(투찰)②_마현생창(동양고속) 2" xfId="1811"/>
    <cellStyle name="_부대입찰양식②_합덕-신례원(2공구)투찰_봉무지방산업단지도로(투찰)②_마현생창(동양고속)_왜관-태평건설 2" xfId="1812"/>
    <cellStyle name="_부대입찰양식②_합덕-신례원(2공구)투찰_봉무지방산업단지도로(투찰)②_왜관-태평건설 2" xfId="1813"/>
    <cellStyle name="_부대입찰양식②_합덕-신례원(2공구)투찰_봉무지방산업단지도로(투찰)②+0.250% 2" xfId="1814"/>
    <cellStyle name="_부대입찰양식②_합덕-신례원(2공구)투찰_봉무지방산업단지도로(투찰)②+0.250%_마현생창(동양고속) 2" xfId="1815"/>
    <cellStyle name="_부대입찰양식②_합덕-신례원(2공구)투찰_봉무지방산업단지도로(투찰)②+0.250%_마현생창(동양고속)_왜관-태평건설 2" xfId="1816"/>
    <cellStyle name="_부대입찰양식②_합덕-신례원(2공구)투찰_봉무지방산업단지도로(투찰)②+0.250%_왜관-태평건설 2" xfId="1817"/>
    <cellStyle name="_부대입찰양식②_합덕-신례원(2공구)투찰_왜관-태평건설 2" xfId="1818"/>
    <cellStyle name="_부대입찰양식②_합덕-신례원(2공구)투찰_합덕-신례원(2공구)투찰 2" xfId="1819"/>
    <cellStyle name="_부대입찰양식②_합덕-신례원(2공구)투찰_합덕-신례원(2공구)투찰_경찰서-터미널간도로(투찰)② 2" xfId="1820"/>
    <cellStyle name="_부대입찰양식②_합덕-신례원(2공구)투찰_합덕-신례원(2공구)투찰_경찰서-터미널간도로(투찰)②_마현생창(동양고속) 2" xfId="1821"/>
    <cellStyle name="_부대입찰양식②_합덕-신례원(2공구)투찰_합덕-신례원(2공구)투찰_경찰서-터미널간도로(투찰)②_마현생창(동양고속)_왜관-태평건설 2" xfId="1822"/>
    <cellStyle name="_부대입찰양식②_합덕-신례원(2공구)투찰_합덕-신례원(2공구)투찰_경찰서-터미널간도로(투찰)②_왜관-태평건설 2" xfId="1823"/>
    <cellStyle name="_부대입찰양식②_합덕-신례원(2공구)투찰_합덕-신례원(2공구)투찰_마현생창(동양고속) 2" xfId="1824"/>
    <cellStyle name="_부대입찰양식②_합덕-신례원(2공구)투찰_합덕-신례원(2공구)투찰_마현생창(동양고속)_왜관-태평건설 2" xfId="1825"/>
    <cellStyle name="_부대입찰양식②_합덕-신례원(2공구)투찰_합덕-신례원(2공구)투찰_봉무지방산업단지도로(투찰)② 2" xfId="1826"/>
    <cellStyle name="_부대입찰양식②_합덕-신례원(2공구)투찰_합덕-신례원(2공구)투찰_봉무지방산업단지도로(투찰)②_마현생창(동양고속) 2" xfId="1827"/>
    <cellStyle name="_부대입찰양식②_합덕-신례원(2공구)투찰_합덕-신례원(2공구)투찰_봉무지방산업단지도로(투찰)②_마현생창(동양고속)_왜관-태평건설 2" xfId="1828"/>
    <cellStyle name="_부대입찰양식②_합덕-신례원(2공구)투찰_합덕-신례원(2공구)투찰_봉무지방산업단지도로(투찰)②_왜관-태평건설 2" xfId="1829"/>
    <cellStyle name="_부대입찰양식②_합덕-신례원(2공구)투찰_합덕-신례원(2공구)투찰_봉무지방산업단지도로(투찰)②+0.250% 2" xfId="1830"/>
    <cellStyle name="_부대입찰양식②_합덕-신례원(2공구)투찰_합덕-신례원(2공구)투찰_봉무지방산업단지도로(투찰)②+0.250%_마현생창(동양고속) 2" xfId="1831"/>
    <cellStyle name="_부대입찰양식②_합덕-신례원(2공구)투찰_합덕-신례원(2공구)투찰_봉무지방산업단지도로(투찰)②+0.250%_마현생창(동양고속)_왜관-태평건설 2" xfId="1832"/>
    <cellStyle name="_부대입찰양식②_합덕-신례원(2공구)투찰_합덕-신례원(2공구)투찰_봉무지방산업단지도로(투찰)②+0.250%_왜관-태평건설 2" xfId="1833"/>
    <cellStyle name="_부대입찰양식②_합덕-신례원(2공구)투찰_합덕-신례원(2공구)투찰_왜관-태평건설 2" xfId="1834"/>
    <cellStyle name="_부평배수지(투찰) 2" xfId="1835"/>
    <cellStyle name="_부평배수지(투찰)_경찰서-터미널간도로(투찰)② 2" xfId="1836"/>
    <cellStyle name="_부평배수지(투찰)_경찰서-터미널간도로(투찰)②_마현생창(동양고속) 2" xfId="1837"/>
    <cellStyle name="_부평배수지(투찰)_경찰서-터미널간도로(투찰)②_마현생창(동양고속)_왜관-태평건설 2" xfId="1838"/>
    <cellStyle name="_부평배수지(투찰)_경찰서-터미널간도로(투찰)②_왜관-태평건설 2" xfId="1839"/>
    <cellStyle name="_부평배수지(투찰)_마현생창(동양고속) 2" xfId="1840"/>
    <cellStyle name="_부평배수지(투찰)_마현생창(동양고속)_왜관-태평건설 2" xfId="1841"/>
    <cellStyle name="_부평배수지(투찰)_봉무지방산업단지도로(투찰)② 2" xfId="1842"/>
    <cellStyle name="_부평배수지(투찰)_봉무지방산업단지도로(투찰)②_마현생창(동양고속) 2" xfId="1843"/>
    <cellStyle name="_부평배수지(투찰)_봉무지방산업단지도로(투찰)②_마현생창(동양고속)_왜관-태평건설 2" xfId="1844"/>
    <cellStyle name="_부평배수지(투찰)_봉무지방산업단지도로(투찰)②_왜관-태평건설 2" xfId="1845"/>
    <cellStyle name="_부평배수지(투찰)_봉무지방산업단지도로(투찰)②+0.250% 2" xfId="1846"/>
    <cellStyle name="_부평배수지(투찰)_봉무지방산업단지도로(투찰)②+0.250%_마현생창(동양고속) 2" xfId="1847"/>
    <cellStyle name="_부평배수지(투찰)_봉무지방산업단지도로(투찰)②+0.250%_마현생창(동양고속)_왜관-태평건설 2" xfId="1848"/>
    <cellStyle name="_부평배수지(투찰)_봉무지방산업단지도로(투찰)②+0.250%_왜관-태평건설 2" xfId="1849"/>
    <cellStyle name="_부평배수지(투찰)_왜관-태평건설 2" xfId="1850"/>
    <cellStyle name="_부평배수지(투찰)_합덕-신례원(2공구)투찰 2" xfId="1851"/>
    <cellStyle name="_부평배수지(투찰)_합덕-신례원(2공구)투찰_경찰서-터미널간도로(투찰)② 2" xfId="1852"/>
    <cellStyle name="_부평배수지(투찰)_합덕-신례원(2공구)투찰_경찰서-터미널간도로(투찰)②_마현생창(동양고속) 2" xfId="1853"/>
    <cellStyle name="_부평배수지(투찰)_합덕-신례원(2공구)투찰_경찰서-터미널간도로(투찰)②_마현생창(동양고속)_왜관-태평건설 2" xfId="1854"/>
    <cellStyle name="_부평배수지(투찰)_합덕-신례원(2공구)투찰_경찰서-터미널간도로(투찰)②_왜관-태평건설 2" xfId="1855"/>
    <cellStyle name="_부평배수지(투찰)_합덕-신례원(2공구)투찰_마현생창(동양고속) 2" xfId="1856"/>
    <cellStyle name="_부평배수지(투찰)_합덕-신례원(2공구)투찰_마현생창(동양고속)_왜관-태평건설 2" xfId="1857"/>
    <cellStyle name="_부평배수지(투찰)_합덕-신례원(2공구)투찰_봉무지방산업단지도로(투찰)② 2" xfId="1858"/>
    <cellStyle name="_부평배수지(투찰)_합덕-신례원(2공구)투찰_봉무지방산업단지도로(투찰)②_마현생창(동양고속) 2" xfId="1859"/>
    <cellStyle name="_부평배수지(투찰)_합덕-신례원(2공구)투찰_봉무지방산업단지도로(투찰)②_마현생창(동양고속)_왜관-태평건설 2" xfId="1860"/>
    <cellStyle name="_부평배수지(투찰)_합덕-신례원(2공구)투찰_봉무지방산업단지도로(투찰)②_왜관-태평건설 2" xfId="1861"/>
    <cellStyle name="_부평배수지(투찰)_합덕-신례원(2공구)투찰_봉무지방산업단지도로(투찰)②+0.250% 2" xfId="1862"/>
    <cellStyle name="_부평배수지(투찰)_합덕-신례원(2공구)투찰_봉무지방산업단지도로(투찰)②+0.250%_마현생창(동양고속) 2" xfId="1863"/>
    <cellStyle name="_부평배수지(투찰)_합덕-신례원(2공구)투찰_봉무지방산업단지도로(투찰)②+0.250%_마현생창(동양고속)_왜관-태평건설 2" xfId="1864"/>
    <cellStyle name="_부평배수지(투찰)_합덕-신례원(2공구)투찰_봉무지방산업단지도로(투찰)②+0.250%_왜관-태평건설 2" xfId="1865"/>
    <cellStyle name="_부평배수지(투찰)_합덕-신례원(2공구)투찰_왜관-태평건설 2" xfId="1866"/>
    <cellStyle name="_부평배수지(투찰)_합덕-신례원(2공구)투찰_합덕-신례원(2공구)투찰 2" xfId="1867"/>
    <cellStyle name="_부평배수지(투찰)_합덕-신례원(2공구)투찰_합덕-신례원(2공구)투찰_경찰서-터미널간도로(투찰)② 2" xfId="1868"/>
    <cellStyle name="_부평배수지(투찰)_합덕-신례원(2공구)투찰_합덕-신례원(2공구)투찰_경찰서-터미널간도로(투찰)②_마현생창(동양고속) 2" xfId="1869"/>
    <cellStyle name="_부평배수지(투찰)_합덕-신례원(2공구)투찰_합덕-신례원(2공구)투찰_경찰서-터미널간도로(투찰)②_마현생창(동양고속)_왜관-태평건설 2" xfId="1870"/>
    <cellStyle name="_부평배수지(투찰)_합덕-신례원(2공구)투찰_합덕-신례원(2공구)투찰_경찰서-터미널간도로(투찰)②_왜관-태평건설 2" xfId="1871"/>
    <cellStyle name="_부평배수지(투찰)_합덕-신례원(2공구)투찰_합덕-신례원(2공구)투찰_마현생창(동양고속) 2" xfId="1872"/>
    <cellStyle name="_부평배수지(투찰)_합덕-신례원(2공구)투찰_합덕-신례원(2공구)투찰_마현생창(동양고속)_왜관-태평건설 2" xfId="1873"/>
    <cellStyle name="_부평배수지(투찰)_합덕-신례원(2공구)투찰_합덕-신례원(2공구)투찰_봉무지방산업단지도로(투찰)② 2" xfId="1874"/>
    <cellStyle name="_부평배수지(투찰)_합덕-신례원(2공구)투찰_합덕-신례원(2공구)투찰_봉무지방산업단지도로(투찰)②_마현생창(동양고속) 2" xfId="1875"/>
    <cellStyle name="_부평배수지(투찰)_합덕-신례원(2공구)투찰_합덕-신례원(2공구)투찰_봉무지방산업단지도로(투찰)②_마현생창(동양고속)_왜관-태평건설 2" xfId="1876"/>
    <cellStyle name="_부평배수지(투찰)_합덕-신례원(2공구)투찰_합덕-신례원(2공구)투찰_봉무지방산업단지도로(투찰)②_왜관-태평건설 2" xfId="1877"/>
    <cellStyle name="_부평배수지(투찰)_합덕-신례원(2공구)투찰_합덕-신례원(2공구)투찰_봉무지방산업단지도로(투찰)②+0.250% 2" xfId="1878"/>
    <cellStyle name="_부평배수지(투찰)_합덕-신례원(2공구)투찰_합덕-신례원(2공구)투찰_봉무지방산업단지도로(투찰)②+0.250%_마현생창(동양고속) 2" xfId="1879"/>
    <cellStyle name="_부평배수지(투찰)_합덕-신례원(2공구)투찰_합덕-신례원(2공구)투찰_봉무지방산업단지도로(투찰)②+0.250%_마현생창(동양고속)_왜관-태평건설 2" xfId="1880"/>
    <cellStyle name="_부평배수지(투찰)_합덕-신례원(2공구)투찰_합덕-신례원(2공구)투찰_봉무지방산업단지도로(투찰)②+0.250%_왜관-태평건설 2" xfId="1881"/>
    <cellStyle name="_부평배수지(투찰)_합덕-신례원(2공구)투찰_합덕-신례원(2공구)투찰_왜관-태평건설 2" xfId="1882"/>
    <cellStyle name="_송학하수품의(설계넣고) 2" xfId="1883"/>
    <cellStyle name="_신태백(가실행) 2" xfId="1884"/>
    <cellStyle name="_신태백(가실행)_1 2" xfId="1885"/>
    <cellStyle name="_신태백(가실행)_1_경찰서-터미널간도로(투찰)② 2" xfId="1886"/>
    <cellStyle name="_신태백(가실행)_1_경찰서-터미널간도로(투찰)②_마현생창(동양고속) 2" xfId="1887"/>
    <cellStyle name="_신태백(가실행)_1_경찰서-터미널간도로(투찰)②_마현생창(동양고속)_왜관-태평건설 2" xfId="1888"/>
    <cellStyle name="_신태백(가실행)_1_경찰서-터미널간도로(투찰)②_왜관-태평건설 2" xfId="1889"/>
    <cellStyle name="_신태백(가실행)_1_마현생창(동양고속) 2" xfId="1890"/>
    <cellStyle name="_신태백(가실행)_1_마현생창(동양고속)_왜관-태평건설 2" xfId="1891"/>
    <cellStyle name="_신태백(가실행)_1_봉무지방산업단지도로(투찰)② 2" xfId="1892"/>
    <cellStyle name="_신태백(가실행)_1_봉무지방산업단지도로(투찰)②_마현생창(동양고속) 2" xfId="1893"/>
    <cellStyle name="_신태백(가실행)_1_봉무지방산업단지도로(투찰)②_마현생창(동양고속)_왜관-태평건설 2" xfId="1894"/>
    <cellStyle name="_신태백(가실행)_1_봉무지방산업단지도로(투찰)②_왜관-태평건설 2" xfId="1895"/>
    <cellStyle name="_신태백(가실행)_1_봉무지방산업단지도로(투찰)②+0.250% 2" xfId="1896"/>
    <cellStyle name="_신태백(가실행)_1_봉무지방산업단지도로(투찰)②+0.250%_마현생창(동양고속) 2" xfId="1897"/>
    <cellStyle name="_신태백(가실행)_1_봉무지방산업단지도로(투찰)②+0.250%_마현생창(동양고속)_왜관-태평건설 2" xfId="1898"/>
    <cellStyle name="_신태백(가실행)_1_봉무지방산업단지도로(투찰)②+0.250%_왜관-태평건설 2" xfId="1899"/>
    <cellStyle name="_신태백(가실행)_1_왜관-태평건설 2" xfId="1900"/>
    <cellStyle name="_신태백(가실행)_1_합덕-신례원(2공구)투찰 2" xfId="1901"/>
    <cellStyle name="_신태백(가실행)_1_합덕-신례원(2공구)투찰_경찰서-터미널간도로(투찰)② 2" xfId="1902"/>
    <cellStyle name="_신태백(가실행)_1_합덕-신례원(2공구)투찰_경찰서-터미널간도로(투찰)②_마현생창(동양고속) 2" xfId="1903"/>
    <cellStyle name="_신태백(가실행)_1_합덕-신례원(2공구)투찰_경찰서-터미널간도로(투찰)②_마현생창(동양고속)_왜관-태평건설 2" xfId="1904"/>
    <cellStyle name="_신태백(가실행)_1_합덕-신례원(2공구)투찰_경찰서-터미널간도로(투찰)②_왜관-태평건설 2" xfId="1905"/>
    <cellStyle name="_신태백(가실행)_1_합덕-신례원(2공구)투찰_마현생창(동양고속) 2" xfId="1906"/>
    <cellStyle name="_신태백(가실행)_1_합덕-신례원(2공구)투찰_마현생창(동양고속)_왜관-태평건설 2" xfId="1907"/>
    <cellStyle name="_신태백(가실행)_1_합덕-신례원(2공구)투찰_봉무지방산업단지도로(투찰)② 2" xfId="1908"/>
    <cellStyle name="_신태백(가실행)_1_합덕-신례원(2공구)투찰_봉무지방산업단지도로(투찰)②_마현생창(동양고속) 2" xfId="1909"/>
    <cellStyle name="_신태백(가실행)_1_합덕-신례원(2공구)투찰_봉무지방산업단지도로(투찰)②_마현생창(동양고속)_왜관-태평건설 2" xfId="1910"/>
    <cellStyle name="_신태백(가실행)_1_합덕-신례원(2공구)투찰_봉무지방산업단지도로(투찰)②_왜관-태평건설 2" xfId="1911"/>
    <cellStyle name="_신태백(가실행)_1_합덕-신례원(2공구)투찰_봉무지방산업단지도로(투찰)②+0.250% 2" xfId="1912"/>
    <cellStyle name="_신태백(가실행)_1_합덕-신례원(2공구)투찰_봉무지방산업단지도로(투찰)②+0.250%_마현생창(동양고속) 2" xfId="1913"/>
    <cellStyle name="_신태백(가실행)_1_합덕-신례원(2공구)투찰_봉무지방산업단지도로(투찰)②+0.250%_마현생창(동양고속)_왜관-태평건설 2" xfId="1914"/>
    <cellStyle name="_신태백(가실행)_1_합덕-신례원(2공구)투찰_봉무지방산업단지도로(투찰)②+0.250%_왜관-태평건설 2" xfId="1915"/>
    <cellStyle name="_신태백(가실행)_1_합덕-신례원(2공구)투찰_왜관-태평건설 2" xfId="1916"/>
    <cellStyle name="_신태백(가실행)_1_합덕-신례원(2공구)투찰_합덕-신례원(2공구)투찰 2" xfId="1917"/>
    <cellStyle name="_신태백(가실행)_1_합덕-신례원(2공구)투찰_합덕-신례원(2공구)투찰_경찰서-터미널간도로(투찰)② 2" xfId="1918"/>
    <cellStyle name="_신태백(가실행)_1_합덕-신례원(2공구)투찰_합덕-신례원(2공구)투찰_경찰서-터미널간도로(투찰)②_마현생창(동양고속) 2" xfId="1919"/>
    <cellStyle name="_신태백(가실행)_1_합덕-신례원(2공구)투찰_합덕-신례원(2공구)투찰_경찰서-터미널간도로(투찰)②_마현생창(동양고속)_왜관-태평건설 2" xfId="1920"/>
    <cellStyle name="_신태백(가실행)_1_합덕-신례원(2공구)투찰_합덕-신례원(2공구)투찰_경찰서-터미널간도로(투찰)②_왜관-태평건설 2" xfId="1921"/>
    <cellStyle name="_신태백(가실행)_1_합덕-신례원(2공구)투찰_합덕-신례원(2공구)투찰_마현생창(동양고속) 2" xfId="1922"/>
    <cellStyle name="_신태백(가실행)_1_합덕-신례원(2공구)투찰_합덕-신례원(2공구)투찰_마현생창(동양고속)_왜관-태평건설 2" xfId="1923"/>
    <cellStyle name="_신태백(가실행)_1_합덕-신례원(2공구)투찰_합덕-신례원(2공구)투찰_봉무지방산업단지도로(투찰)② 2" xfId="1924"/>
    <cellStyle name="_신태백(가실행)_1_합덕-신례원(2공구)투찰_합덕-신례원(2공구)투찰_봉무지방산업단지도로(투찰)②_마현생창(동양고속) 2" xfId="1925"/>
    <cellStyle name="_신태백(가실행)_1_합덕-신례원(2공구)투찰_합덕-신례원(2공구)투찰_봉무지방산업단지도로(투찰)②_마현생창(동양고속)_왜관-태평건설 2" xfId="1926"/>
    <cellStyle name="_신태백(가실행)_1_합덕-신례원(2공구)투찰_합덕-신례원(2공구)투찰_봉무지방산업단지도로(투찰)②_왜관-태평건설 2" xfId="1927"/>
    <cellStyle name="_신태백(가실행)_1_합덕-신례원(2공구)투찰_합덕-신례원(2공구)투찰_봉무지방산업단지도로(투찰)②+0.250% 2" xfId="1928"/>
    <cellStyle name="_신태백(가실행)_1_합덕-신례원(2공구)투찰_합덕-신례원(2공구)투찰_봉무지방산업단지도로(투찰)②+0.250%_마현생창(동양고속) 2" xfId="1929"/>
    <cellStyle name="_신태백(가실행)_1_합덕-신례원(2공구)투찰_합덕-신례원(2공구)투찰_봉무지방산업단지도로(투찰)②+0.250%_마현생창(동양고속)_왜관-태평건설 2" xfId="1930"/>
    <cellStyle name="_신태백(가실행)_1_합덕-신례원(2공구)투찰_합덕-신례원(2공구)투찰_봉무지방산업단지도로(투찰)②+0.250%_왜관-태평건설 2" xfId="1931"/>
    <cellStyle name="_신태백(가실행)_1_합덕-신례원(2공구)투찰_합덕-신례원(2공구)투찰_왜관-태평건설 2" xfId="1932"/>
    <cellStyle name="_신태백(가실행)_경찰서-터미널간도로(투찰)② 2" xfId="1933"/>
    <cellStyle name="_신태백(가실행)_경찰서-터미널간도로(투찰)②_마현생창(동양고속) 2" xfId="1934"/>
    <cellStyle name="_신태백(가실행)_경찰서-터미널간도로(투찰)②_마현생창(동양고속)_왜관-태평건설 2" xfId="1935"/>
    <cellStyle name="_신태백(가실행)_경찰서-터미널간도로(투찰)②_왜관-태평건설 2" xfId="1936"/>
    <cellStyle name="_신태백(가실행)_도덕-고흥도로(투찰) 2" xfId="1937"/>
    <cellStyle name="_신태백(가실행)_도덕-고흥도로(투찰)_경찰서-터미널간도로(투찰)② 2" xfId="1938"/>
    <cellStyle name="_신태백(가실행)_도덕-고흥도로(투찰)_경찰서-터미널간도로(투찰)②_마현생창(동양고속) 2" xfId="1939"/>
    <cellStyle name="_신태백(가실행)_도덕-고흥도로(투찰)_경찰서-터미널간도로(투찰)②_마현생창(동양고속)_왜관-태평건설 2" xfId="1940"/>
    <cellStyle name="_신태백(가실행)_도덕-고흥도로(투찰)_경찰서-터미널간도로(투찰)②_왜관-태평건설 2" xfId="1941"/>
    <cellStyle name="_신태백(가실행)_도덕-고흥도로(투찰)_마현생창(동양고속) 2" xfId="1942"/>
    <cellStyle name="_신태백(가실행)_도덕-고흥도로(투찰)_마현생창(동양고속)_왜관-태평건설 2" xfId="1943"/>
    <cellStyle name="_신태백(가실행)_도덕-고흥도로(투찰)_봉무지방산업단지도로(투찰)② 2" xfId="1944"/>
    <cellStyle name="_신태백(가실행)_도덕-고흥도로(투찰)_봉무지방산업단지도로(투찰)②_마현생창(동양고속) 2" xfId="1945"/>
    <cellStyle name="_신태백(가실행)_도덕-고흥도로(투찰)_봉무지방산업단지도로(투찰)②_마현생창(동양고속)_왜관-태평건설 2" xfId="1946"/>
    <cellStyle name="_신태백(가실행)_도덕-고흥도로(투찰)_봉무지방산업단지도로(투찰)②_왜관-태평건설 2" xfId="1947"/>
    <cellStyle name="_신태백(가실행)_도덕-고흥도로(투찰)_봉무지방산업단지도로(투찰)②+0.250% 2" xfId="1948"/>
    <cellStyle name="_신태백(가실행)_도덕-고흥도로(투찰)_봉무지방산업단지도로(투찰)②+0.250%_마현생창(동양고속) 2" xfId="1949"/>
    <cellStyle name="_신태백(가실행)_도덕-고흥도로(투찰)_봉무지방산업단지도로(투찰)②+0.250%_마현생창(동양고속)_왜관-태평건설 2" xfId="1950"/>
    <cellStyle name="_신태백(가실행)_도덕-고흥도로(투찰)_봉무지방산업단지도로(투찰)②+0.250%_왜관-태평건설 2" xfId="1951"/>
    <cellStyle name="_신태백(가실행)_도덕-고흥도로(투찰)_왜관-태평건설 2" xfId="1952"/>
    <cellStyle name="_신태백(가실행)_도덕-고흥도로(투찰)_합덕-신례원(2공구)투찰 2" xfId="1953"/>
    <cellStyle name="_신태백(가실행)_도덕-고흥도로(투찰)_합덕-신례원(2공구)투찰_경찰서-터미널간도로(투찰)② 2" xfId="1954"/>
    <cellStyle name="_신태백(가실행)_도덕-고흥도로(투찰)_합덕-신례원(2공구)투찰_경찰서-터미널간도로(투찰)②_마현생창(동양고속) 2" xfId="1955"/>
    <cellStyle name="_신태백(가실행)_도덕-고흥도로(투찰)_합덕-신례원(2공구)투찰_경찰서-터미널간도로(투찰)②_마현생창(동양고속)_왜관-태평건설 2" xfId="1956"/>
    <cellStyle name="_신태백(가실행)_도덕-고흥도로(투찰)_합덕-신례원(2공구)투찰_경찰서-터미널간도로(투찰)②_왜관-태평건설 2" xfId="1957"/>
    <cellStyle name="_신태백(가실행)_도덕-고흥도로(투찰)_합덕-신례원(2공구)투찰_마현생창(동양고속) 2" xfId="1958"/>
    <cellStyle name="_신태백(가실행)_도덕-고흥도로(투찰)_합덕-신례원(2공구)투찰_마현생창(동양고속)_왜관-태평건설 2" xfId="1959"/>
    <cellStyle name="_신태백(가실행)_도덕-고흥도로(투찰)_합덕-신례원(2공구)투찰_봉무지방산업단지도로(투찰)② 2" xfId="1960"/>
    <cellStyle name="_신태백(가실행)_도덕-고흥도로(투찰)_합덕-신례원(2공구)투찰_봉무지방산업단지도로(투찰)②_마현생창(동양고속) 2" xfId="1961"/>
    <cellStyle name="_신태백(가실행)_도덕-고흥도로(투찰)_합덕-신례원(2공구)투찰_봉무지방산업단지도로(투찰)②_마현생창(동양고속)_왜관-태평건설 2" xfId="1962"/>
    <cellStyle name="_신태백(가실행)_도덕-고흥도로(투찰)_합덕-신례원(2공구)투찰_봉무지방산업단지도로(투찰)②_왜관-태평건설 2" xfId="1963"/>
    <cellStyle name="_신태백(가실행)_도덕-고흥도로(투찰)_합덕-신례원(2공구)투찰_봉무지방산업단지도로(투찰)②+0.250% 2" xfId="1964"/>
    <cellStyle name="_신태백(가실행)_도덕-고흥도로(투찰)_합덕-신례원(2공구)투찰_봉무지방산업단지도로(투찰)②+0.250%_마현생창(동양고속) 2" xfId="1965"/>
    <cellStyle name="_신태백(가실행)_도덕-고흥도로(투찰)_합덕-신례원(2공구)투찰_봉무지방산업단지도로(투찰)②+0.250%_마현생창(동양고속)_왜관-태평건설 2" xfId="1966"/>
    <cellStyle name="_신태백(가실행)_도덕-고흥도로(투찰)_합덕-신례원(2공구)투찰_봉무지방산업단지도로(투찰)②+0.250%_왜관-태평건설 2" xfId="1967"/>
    <cellStyle name="_신태백(가실행)_도덕-고흥도로(투찰)_합덕-신례원(2공구)투찰_왜관-태평건설 2" xfId="1968"/>
    <cellStyle name="_신태백(가실행)_도덕-고흥도로(투찰)_합덕-신례원(2공구)투찰_합덕-신례원(2공구)투찰 2" xfId="1969"/>
    <cellStyle name="_신태백(가실행)_도덕-고흥도로(투찰)_합덕-신례원(2공구)투찰_합덕-신례원(2공구)투찰_경찰서-터미널간도로(투찰)② 2" xfId="1970"/>
    <cellStyle name="_신태백(가실행)_도덕-고흥도로(투찰)_합덕-신례원(2공구)투찰_합덕-신례원(2공구)투찰_경찰서-터미널간도로(투찰)②_마현생창(동양고속) 2" xfId="1971"/>
    <cellStyle name="_신태백(가실행)_도덕-고흥도로(투찰)_합덕-신례원(2공구)투찰_합덕-신례원(2공구)투찰_경찰서-터미널간도로(투찰)②_마현생창(동양고속)_왜관-태평건설 2" xfId="1972"/>
    <cellStyle name="_신태백(가실행)_도덕-고흥도로(투찰)_합덕-신례원(2공구)투찰_합덕-신례원(2공구)투찰_경찰서-터미널간도로(투찰)②_왜관-태평건설 2" xfId="1973"/>
    <cellStyle name="_신태백(가실행)_도덕-고흥도로(투찰)_합덕-신례원(2공구)투찰_합덕-신례원(2공구)투찰_마현생창(동양고속) 2" xfId="1974"/>
    <cellStyle name="_신태백(가실행)_도덕-고흥도로(투찰)_합덕-신례원(2공구)투찰_합덕-신례원(2공구)투찰_마현생창(동양고속)_왜관-태평건설 2" xfId="1975"/>
    <cellStyle name="_신태백(가실행)_도덕-고흥도로(투찰)_합덕-신례원(2공구)투찰_합덕-신례원(2공구)투찰_봉무지방산업단지도로(투찰)② 2" xfId="1976"/>
    <cellStyle name="_신태백(가실행)_도덕-고흥도로(투찰)_합덕-신례원(2공구)투찰_합덕-신례원(2공구)투찰_봉무지방산업단지도로(투찰)②_마현생창(동양고속) 2" xfId="1977"/>
    <cellStyle name="_신태백(가실행)_도덕-고흥도로(투찰)_합덕-신례원(2공구)투찰_합덕-신례원(2공구)투찰_봉무지방산업단지도로(투찰)②_마현생창(동양고속)_왜관-태평건설 2" xfId="1978"/>
    <cellStyle name="_신태백(가실행)_도덕-고흥도로(투찰)_합덕-신례원(2공구)투찰_합덕-신례원(2공구)투찰_봉무지방산업단지도로(투찰)②_왜관-태평건설 2" xfId="1979"/>
    <cellStyle name="_신태백(가실행)_도덕-고흥도로(투찰)_합덕-신례원(2공구)투찰_합덕-신례원(2공구)투찰_봉무지방산업단지도로(투찰)②+0.250% 2" xfId="1980"/>
    <cellStyle name="_신태백(가실행)_도덕-고흥도로(투찰)_합덕-신례원(2공구)투찰_합덕-신례원(2공구)투찰_봉무지방산업단지도로(투찰)②+0.250%_마현생창(동양고속) 2" xfId="1981"/>
    <cellStyle name="_신태백(가실행)_도덕-고흥도로(투찰)_합덕-신례원(2공구)투찰_합덕-신례원(2공구)투찰_봉무지방산업단지도로(투찰)②+0.250%_마현생창(동양고속)_왜관-태평건설 2" xfId="1982"/>
    <cellStyle name="_신태백(가실행)_도덕-고흥도로(투찰)_합덕-신례원(2공구)투찰_합덕-신례원(2공구)투찰_봉무지방산업단지도로(투찰)②+0.250%_왜관-태평건설 2" xfId="1983"/>
    <cellStyle name="_신태백(가실행)_도덕-고흥도로(투찰)_합덕-신례원(2공구)투찰_합덕-신례원(2공구)투찰_왜관-태평건설 2" xfId="1984"/>
    <cellStyle name="_신태백(가실행)_마현생창(동양고속) 2" xfId="1985"/>
    <cellStyle name="_신태백(가실행)_마현생창(동양고속)_왜관-태평건설 2" xfId="1986"/>
    <cellStyle name="_신태백(가실행)_봉무지방산업단지도로(투찰)② 2" xfId="1987"/>
    <cellStyle name="_신태백(가실행)_봉무지방산업단지도로(투찰)②_마현생창(동양고속) 2" xfId="1988"/>
    <cellStyle name="_신태백(가실행)_봉무지방산업단지도로(투찰)②_마현생창(동양고속)_왜관-태평건설 2" xfId="1989"/>
    <cellStyle name="_신태백(가실행)_봉무지방산업단지도로(투찰)②_왜관-태평건설 2" xfId="1990"/>
    <cellStyle name="_신태백(가실행)_봉무지방산업단지도로(투찰)②+0.250% 2" xfId="1991"/>
    <cellStyle name="_신태백(가실행)_봉무지방산업단지도로(투찰)②+0.250%_마현생창(동양고속) 2" xfId="1992"/>
    <cellStyle name="_신태백(가실행)_봉무지방산업단지도로(투찰)②+0.250%_마현생창(동양고속)_왜관-태평건설 2" xfId="1993"/>
    <cellStyle name="_신태백(가실행)_봉무지방산업단지도로(투찰)②+0.250%_왜관-태평건설 2" xfId="1994"/>
    <cellStyle name="_신태백(가실행)_안산부대(투찰)⑤ 2" xfId="1995"/>
    <cellStyle name="_신태백(가실행)_안산부대(투찰)⑤_경찰서-터미널간도로(투찰)② 2" xfId="1996"/>
    <cellStyle name="_신태백(가실행)_안산부대(투찰)⑤_경찰서-터미널간도로(투찰)②_마현생창(동양고속) 2" xfId="1997"/>
    <cellStyle name="_신태백(가실행)_안산부대(투찰)⑤_경찰서-터미널간도로(투찰)②_마현생창(동양고속)_왜관-태평건설 2" xfId="1998"/>
    <cellStyle name="_신태백(가실행)_안산부대(투찰)⑤_경찰서-터미널간도로(투찰)②_왜관-태평건설 2" xfId="1999"/>
    <cellStyle name="_신태백(가실행)_안산부대(투찰)⑤_마현생창(동양고속) 2" xfId="2000"/>
    <cellStyle name="_신태백(가실행)_안산부대(투찰)⑤_마현생창(동양고속)_왜관-태평건설 2" xfId="2001"/>
    <cellStyle name="_신태백(가실행)_안산부대(투찰)⑤_봉무지방산업단지도로(투찰)② 2" xfId="2002"/>
    <cellStyle name="_신태백(가실행)_안산부대(투찰)⑤_봉무지방산업단지도로(투찰)②_마현생창(동양고속) 2" xfId="2003"/>
    <cellStyle name="_신태백(가실행)_안산부대(투찰)⑤_봉무지방산업단지도로(투찰)②_마현생창(동양고속)_왜관-태평건설 2" xfId="2004"/>
    <cellStyle name="_신태백(가실행)_안산부대(투찰)⑤_봉무지방산업단지도로(투찰)②_왜관-태평건설 2" xfId="2005"/>
    <cellStyle name="_신태백(가실행)_안산부대(투찰)⑤_봉무지방산업단지도로(투찰)②+0.250% 2" xfId="2006"/>
    <cellStyle name="_신태백(가실행)_안산부대(투찰)⑤_봉무지방산업단지도로(투찰)②+0.250%_마현생창(동양고속) 2" xfId="2007"/>
    <cellStyle name="_신태백(가실행)_안산부대(투찰)⑤_봉무지방산업단지도로(투찰)②+0.250%_마현생창(동양고속)_왜관-태평건설 2" xfId="2008"/>
    <cellStyle name="_신태백(가실행)_안산부대(투찰)⑤_봉무지방산업단지도로(투찰)②+0.250%_왜관-태평건설 2" xfId="2009"/>
    <cellStyle name="_신태백(가실행)_안산부대(투찰)⑤_왜관-태평건설 2" xfId="2010"/>
    <cellStyle name="_신태백(가실행)_안산부대(투찰)⑤_합덕-신례원(2공구)투찰 2" xfId="2011"/>
    <cellStyle name="_신태백(가실행)_안산부대(투찰)⑤_합덕-신례원(2공구)투찰_경찰서-터미널간도로(투찰)② 2" xfId="2012"/>
    <cellStyle name="_신태백(가실행)_안산부대(투찰)⑤_합덕-신례원(2공구)투찰_경찰서-터미널간도로(투찰)②_마현생창(동양고속) 2" xfId="2013"/>
    <cellStyle name="_신태백(가실행)_안산부대(투찰)⑤_합덕-신례원(2공구)투찰_경찰서-터미널간도로(투찰)②_마현생창(동양고속)_왜관-태평건설 2" xfId="2014"/>
    <cellStyle name="_신태백(가실행)_안산부대(투찰)⑤_합덕-신례원(2공구)투찰_경찰서-터미널간도로(투찰)②_왜관-태평건설 2" xfId="2015"/>
    <cellStyle name="_신태백(가실행)_안산부대(투찰)⑤_합덕-신례원(2공구)투찰_마현생창(동양고속) 2" xfId="2016"/>
    <cellStyle name="_신태백(가실행)_안산부대(투찰)⑤_합덕-신례원(2공구)투찰_마현생창(동양고속)_왜관-태평건설 2" xfId="2017"/>
    <cellStyle name="_신태백(가실행)_안산부대(투찰)⑤_합덕-신례원(2공구)투찰_봉무지방산업단지도로(투찰)② 2" xfId="2018"/>
    <cellStyle name="_신태백(가실행)_안산부대(투찰)⑤_합덕-신례원(2공구)투찰_봉무지방산업단지도로(투찰)②_마현생창(동양고속) 2" xfId="2019"/>
    <cellStyle name="_신태백(가실행)_안산부대(투찰)⑤_합덕-신례원(2공구)투찰_봉무지방산업단지도로(투찰)②_마현생창(동양고속)_왜관-태평건설 2" xfId="2020"/>
    <cellStyle name="_신태백(가실행)_안산부대(투찰)⑤_합덕-신례원(2공구)투찰_봉무지방산업단지도로(투찰)②_왜관-태평건설 2" xfId="2021"/>
    <cellStyle name="_신태백(가실행)_안산부대(투찰)⑤_합덕-신례원(2공구)투찰_봉무지방산업단지도로(투찰)②+0.250% 2" xfId="2022"/>
    <cellStyle name="_신태백(가실행)_안산부대(투찰)⑤_합덕-신례원(2공구)투찰_봉무지방산업단지도로(투찰)②+0.250%_마현생창(동양고속) 2" xfId="2023"/>
    <cellStyle name="_신태백(가실행)_안산부대(투찰)⑤_합덕-신례원(2공구)투찰_봉무지방산업단지도로(투찰)②+0.250%_마현생창(동양고속)_왜관-태평건설 2" xfId="2024"/>
    <cellStyle name="_신태백(가실행)_안산부대(투찰)⑤_합덕-신례원(2공구)투찰_봉무지방산업단지도로(투찰)②+0.250%_왜관-태평건설 2" xfId="2025"/>
    <cellStyle name="_신태백(가실행)_안산부대(투찰)⑤_합덕-신례원(2공구)투찰_왜관-태평건설 2" xfId="2026"/>
    <cellStyle name="_신태백(가실행)_안산부대(투찰)⑤_합덕-신례원(2공구)투찰_합덕-신례원(2공구)투찰 2" xfId="2027"/>
    <cellStyle name="_신태백(가실행)_안산부대(투찰)⑤_합덕-신례원(2공구)투찰_합덕-신례원(2공구)투찰_경찰서-터미널간도로(투찰)② 2" xfId="2028"/>
    <cellStyle name="_신태백(가실행)_안산부대(투찰)⑤_합덕-신례원(2공구)투찰_합덕-신례원(2공구)투찰_경찰서-터미널간도로(투찰)②_마현생창(동양고속) 2" xfId="2029"/>
    <cellStyle name="_신태백(가실행)_안산부대(투찰)⑤_합덕-신례원(2공구)투찰_합덕-신례원(2공구)투찰_경찰서-터미널간도로(투찰)②_마현생창(동양고속)_왜관-태평건설 2" xfId="2030"/>
    <cellStyle name="_신태백(가실행)_안산부대(투찰)⑤_합덕-신례원(2공구)투찰_합덕-신례원(2공구)투찰_경찰서-터미널간도로(투찰)②_왜관-태평건설 2" xfId="2031"/>
    <cellStyle name="_신태백(가실행)_안산부대(투찰)⑤_합덕-신례원(2공구)투찰_합덕-신례원(2공구)투찰_마현생창(동양고속) 2" xfId="2032"/>
    <cellStyle name="_신태백(가실행)_안산부대(투찰)⑤_합덕-신례원(2공구)투찰_합덕-신례원(2공구)투찰_마현생창(동양고속)_왜관-태평건설 2" xfId="2033"/>
    <cellStyle name="_신태백(가실행)_안산부대(투찰)⑤_합덕-신례원(2공구)투찰_합덕-신례원(2공구)투찰_봉무지방산업단지도로(투찰)② 2" xfId="2034"/>
    <cellStyle name="_신태백(가실행)_안산부대(투찰)⑤_합덕-신례원(2공구)투찰_합덕-신례원(2공구)투찰_봉무지방산업단지도로(투찰)②_마현생창(동양고속) 2" xfId="2035"/>
    <cellStyle name="_신태백(가실행)_안산부대(투찰)⑤_합덕-신례원(2공구)투찰_합덕-신례원(2공구)투찰_봉무지방산업단지도로(투찰)②_마현생창(동양고속)_왜관-태평건설 2" xfId="2036"/>
    <cellStyle name="_신태백(가실행)_안산부대(투찰)⑤_합덕-신례원(2공구)투찰_합덕-신례원(2공구)투찰_봉무지방산업단지도로(투찰)②_왜관-태평건설 2" xfId="2037"/>
    <cellStyle name="_신태백(가실행)_안산부대(투찰)⑤_합덕-신례원(2공구)투찰_합덕-신례원(2공구)투찰_봉무지방산업단지도로(투찰)②+0.250% 2" xfId="2038"/>
    <cellStyle name="_신태백(가실행)_안산부대(투찰)⑤_합덕-신례원(2공구)투찰_합덕-신례원(2공구)투찰_봉무지방산업단지도로(투찰)②+0.250%_마현생창(동양고속) 2" xfId="2039"/>
    <cellStyle name="_신태백(가실행)_안산부대(투찰)⑤_합덕-신례원(2공구)투찰_합덕-신례원(2공구)투찰_봉무지방산업단지도로(투찰)②+0.250%_마현생창(동양고속)_왜관-태평건설 2" xfId="2040"/>
    <cellStyle name="_신태백(가실행)_안산부대(투찰)⑤_합덕-신례원(2공구)투찰_합덕-신례원(2공구)투찰_봉무지방산업단지도로(투찰)②+0.250%_왜관-태평건설 2" xfId="2041"/>
    <cellStyle name="_신태백(가실행)_안산부대(투찰)⑤_합덕-신례원(2공구)투찰_합덕-신례원(2공구)투찰_왜관-태평건설 2" xfId="2042"/>
    <cellStyle name="_신태백(가실행)_양곡부두(투찰)-0.31% 2" xfId="2043"/>
    <cellStyle name="_신태백(가실행)_양곡부두(투찰)-0.31%_경찰서-터미널간도로(투찰)② 2" xfId="2044"/>
    <cellStyle name="_신태백(가실행)_양곡부두(투찰)-0.31%_경찰서-터미널간도로(투찰)②_마현생창(동양고속) 2" xfId="2045"/>
    <cellStyle name="_신태백(가실행)_양곡부두(투찰)-0.31%_경찰서-터미널간도로(투찰)②_마현생창(동양고속)_왜관-태평건설 2" xfId="2046"/>
    <cellStyle name="_신태백(가실행)_양곡부두(투찰)-0.31%_경찰서-터미널간도로(투찰)②_왜관-태평건설 2" xfId="2047"/>
    <cellStyle name="_신태백(가실행)_양곡부두(투찰)-0.31%_마현생창(동양고속) 2" xfId="2048"/>
    <cellStyle name="_신태백(가실행)_양곡부두(투찰)-0.31%_마현생창(동양고속)_왜관-태평건설 2" xfId="2049"/>
    <cellStyle name="_신태백(가실행)_양곡부두(투찰)-0.31%_봉무지방산업단지도로(투찰)② 2" xfId="2050"/>
    <cellStyle name="_신태백(가실행)_양곡부두(투찰)-0.31%_봉무지방산업단지도로(투찰)②_마현생창(동양고속) 2" xfId="2051"/>
    <cellStyle name="_신태백(가실행)_양곡부두(투찰)-0.31%_봉무지방산업단지도로(투찰)②_마현생창(동양고속)_왜관-태평건설 2" xfId="2052"/>
    <cellStyle name="_신태백(가실행)_양곡부두(투찰)-0.31%_봉무지방산업단지도로(투찰)②_왜관-태평건설 2" xfId="2053"/>
    <cellStyle name="_신태백(가실행)_양곡부두(투찰)-0.31%_봉무지방산업단지도로(투찰)②+0.250% 2" xfId="2054"/>
    <cellStyle name="_신태백(가실행)_양곡부두(투찰)-0.31%_봉무지방산업단지도로(투찰)②+0.250%_마현생창(동양고속) 2" xfId="2055"/>
    <cellStyle name="_신태백(가실행)_양곡부두(투찰)-0.31%_봉무지방산업단지도로(투찰)②+0.250%_마현생창(동양고속)_왜관-태평건설 2" xfId="2056"/>
    <cellStyle name="_신태백(가실행)_양곡부두(투찰)-0.31%_봉무지방산업단지도로(투찰)②+0.250%_왜관-태평건설 2" xfId="2057"/>
    <cellStyle name="_신태백(가실행)_양곡부두(투찰)-0.31%_왜관-태평건설 2" xfId="2058"/>
    <cellStyle name="_신태백(가실행)_양곡부두(투찰)-0.31%_합덕-신례원(2공구)투찰 2" xfId="2059"/>
    <cellStyle name="_신태백(가실행)_양곡부두(투찰)-0.31%_합덕-신례원(2공구)투찰_경찰서-터미널간도로(투찰)② 2" xfId="2060"/>
    <cellStyle name="_신태백(가실행)_양곡부두(투찰)-0.31%_합덕-신례원(2공구)투찰_경찰서-터미널간도로(투찰)②_마현생창(동양고속) 2" xfId="2061"/>
    <cellStyle name="_신태백(가실행)_양곡부두(투찰)-0.31%_합덕-신례원(2공구)투찰_경찰서-터미널간도로(투찰)②_마현생창(동양고속)_왜관-태평건설 2" xfId="2062"/>
    <cellStyle name="_신태백(가실행)_양곡부두(투찰)-0.31%_합덕-신례원(2공구)투찰_경찰서-터미널간도로(투찰)②_왜관-태평건설 2" xfId="2063"/>
    <cellStyle name="_신태백(가실행)_양곡부두(투찰)-0.31%_합덕-신례원(2공구)투찰_마현생창(동양고속) 2" xfId="2064"/>
    <cellStyle name="_신태백(가실행)_양곡부두(투찰)-0.31%_합덕-신례원(2공구)투찰_마현생창(동양고속)_왜관-태평건설 2" xfId="2065"/>
    <cellStyle name="_신태백(가실행)_양곡부두(투찰)-0.31%_합덕-신례원(2공구)투찰_봉무지방산업단지도로(투찰)② 2" xfId="2066"/>
    <cellStyle name="_신태백(가실행)_양곡부두(투찰)-0.31%_합덕-신례원(2공구)투찰_봉무지방산업단지도로(투찰)②_마현생창(동양고속) 2" xfId="2067"/>
    <cellStyle name="_신태백(가실행)_양곡부두(투찰)-0.31%_합덕-신례원(2공구)투찰_봉무지방산업단지도로(투찰)②_마현생창(동양고속)_왜관-태평건설 2" xfId="2068"/>
    <cellStyle name="_신태백(가실행)_양곡부두(투찰)-0.31%_합덕-신례원(2공구)투찰_봉무지방산업단지도로(투찰)②_왜관-태평건설 2" xfId="2069"/>
    <cellStyle name="_신태백(가실행)_양곡부두(투찰)-0.31%_합덕-신례원(2공구)투찰_봉무지방산업단지도로(투찰)②+0.250% 2" xfId="2070"/>
    <cellStyle name="_신태백(가실행)_양곡부두(투찰)-0.31%_합덕-신례원(2공구)투찰_봉무지방산업단지도로(투찰)②+0.250%_마현생창(동양고속) 2" xfId="2071"/>
    <cellStyle name="_신태백(가실행)_양곡부두(투찰)-0.31%_합덕-신례원(2공구)투찰_봉무지방산업단지도로(투찰)②+0.250%_마현생창(동양고속)_왜관-태평건설 2" xfId="2072"/>
    <cellStyle name="_신태백(가실행)_양곡부두(투찰)-0.31%_합덕-신례원(2공구)투찰_봉무지방산업단지도로(투찰)②+0.250%_왜관-태평건설 2" xfId="2073"/>
    <cellStyle name="_신태백(가실행)_양곡부두(투찰)-0.31%_합덕-신례원(2공구)투찰_왜관-태평건설 2" xfId="2074"/>
    <cellStyle name="_신태백(가실행)_양곡부두(투찰)-0.31%_합덕-신례원(2공구)투찰_합덕-신례원(2공구)투찰 2" xfId="2075"/>
    <cellStyle name="_신태백(가실행)_양곡부두(투찰)-0.31%_합덕-신례원(2공구)투찰_합덕-신례원(2공구)투찰_경찰서-터미널간도로(투찰)② 2" xfId="2076"/>
    <cellStyle name="_신태백(가실행)_양곡부두(투찰)-0.31%_합덕-신례원(2공구)투찰_합덕-신례원(2공구)투찰_경찰서-터미널간도로(투찰)②_마현생창(동양고속) 2" xfId="2077"/>
    <cellStyle name="_신태백(가실행)_양곡부두(투찰)-0.31%_합덕-신례원(2공구)투찰_합덕-신례원(2공구)투찰_경찰서-터미널간도로(투찰)②_마현생창(동양고속)_왜관-태평건설 2" xfId="2078"/>
    <cellStyle name="_신태백(가실행)_양곡부두(투찰)-0.31%_합덕-신례원(2공구)투찰_합덕-신례원(2공구)투찰_경찰서-터미널간도로(투찰)②_왜관-태평건설 2" xfId="2079"/>
    <cellStyle name="_신태백(가실행)_양곡부두(투찰)-0.31%_합덕-신례원(2공구)투찰_합덕-신례원(2공구)투찰_마현생창(동양고속) 2" xfId="2080"/>
    <cellStyle name="_신태백(가실행)_양곡부두(투찰)-0.31%_합덕-신례원(2공구)투찰_합덕-신례원(2공구)투찰_마현생창(동양고속)_왜관-태평건설 2" xfId="2081"/>
    <cellStyle name="_신태백(가실행)_양곡부두(투찰)-0.31%_합덕-신례원(2공구)투찰_합덕-신례원(2공구)투찰_봉무지방산업단지도로(투찰)② 2" xfId="2082"/>
    <cellStyle name="_신태백(가실행)_양곡부두(투찰)-0.31%_합덕-신례원(2공구)투찰_합덕-신례원(2공구)투찰_봉무지방산업단지도로(투찰)②_마현생창(동양고속) 2" xfId="2083"/>
    <cellStyle name="_신태백(가실행)_양곡부두(투찰)-0.31%_합덕-신례원(2공구)투찰_합덕-신례원(2공구)투찰_봉무지방산업단지도로(투찰)②_마현생창(동양고속)_왜관-태평건설 2" xfId="2084"/>
    <cellStyle name="_신태백(가실행)_양곡부두(투찰)-0.31%_합덕-신례원(2공구)투찰_합덕-신례원(2공구)투찰_봉무지방산업단지도로(투찰)②_왜관-태평건설 2" xfId="2085"/>
    <cellStyle name="_신태백(가실행)_양곡부두(투찰)-0.31%_합덕-신례원(2공구)투찰_합덕-신례원(2공구)투찰_봉무지방산업단지도로(투찰)②+0.250% 2" xfId="2086"/>
    <cellStyle name="_신태백(가실행)_양곡부두(투찰)-0.31%_합덕-신례원(2공구)투찰_합덕-신례원(2공구)투찰_봉무지방산업단지도로(투찰)②+0.250%_마현생창(동양고속) 2" xfId="2087"/>
    <cellStyle name="_신태백(가실행)_양곡부두(투찰)-0.31%_합덕-신례원(2공구)투찰_합덕-신례원(2공구)투찰_봉무지방산업단지도로(투찰)②+0.250%_마현생창(동양고속)_왜관-태평건설 2" xfId="2088"/>
    <cellStyle name="_신태백(가실행)_양곡부두(투찰)-0.31%_합덕-신례원(2공구)투찰_합덕-신례원(2공구)투찰_봉무지방산업단지도로(투찰)②+0.250%_왜관-태평건설 2" xfId="2089"/>
    <cellStyle name="_신태백(가실행)_양곡부두(투찰)-0.31%_합덕-신례원(2공구)투찰_합덕-신례원(2공구)투찰_왜관-태평건설 2" xfId="2090"/>
    <cellStyle name="_신태백(가실행)_왜관-태평건설 2" xfId="2091"/>
    <cellStyle name="_신태백(가실행)_창원상수도(토목)투찰 2" xfId="2092"/>
    <cellStyle name="_신태백(가실행)_창원상수도(토목)투찰_경찰서-터미널간도로(투찰)② 2" xfId="2093"/>
    <cellStyle name="_신태백(가실행)_창원상수도(토목)투찰_경찰서-터미널간도로(투찰)②_마현생창(동양고속) 2" xfId="2094"/>
    <cellStyle name="_신태백(가실행)_창원상수도(토목)투찰_경찰서-터미널간도로(투찰)②_마현생창(동양고속)_왜관-태평건설 2" xfId="2095"/>
    <cellStyle name="_신태백(가실행)_창원상수도(토목)투찰_경찰서-터미널간도로(투찰)②_왜관-태평건설 2" xfId="2096"/>
    <cellStyle name="_신태백(가실행)_창원상수도(토목)투찰_마현생창(동양고속) 2" xfId="2097"/>
    <cellStyle name="_신태백(가실행)_창원상수도(토목)투찰_마현생창(동양고속)_왜관-태평건설 2" xfId="2098"/>
    <cellStyle name="_신태백(가실행)_창원상수도(토목)투찰_봉무지방산업단지도로(투찰)② 2" xfId="2099"/>
    <cellStyle name="_신태백(가실행)_창원상수도(토목)투찰_봉무지방산업단지도로(투찰)②_마현생창(동양고속) 2" xfId="2100"/>
    <cellStyle name="_신태백(가실행)_창원상수도(토목)투찰_봉무지방산업단지도로(투찰)②_마현생창(동양고속)_왜관-태평건설 2" xfId="2101"/>
    <cellStyle name="_신태백(가실행)_창원상수도(토목)투찰_봉무지방산업단지도로(투찰)②_왜관-태평건설 2" xfId="2102"/>
    <cellStyle name="_신태백(가실행)_창원상수도(토목)투찰_봉무지방산업단지도로(투찰)②+0.250% 2" xfId="2103"/>
    <cellStyle name="_신태백(가실행)_창원상수도(토목)투찰_봉무지방산업단지도로(투찰)②+0.250%_마현생창(동양고속) 2" xfId="2104"/>
    <cellStyle name="_신태백(가실행)_창원상수도(토목)투찰_봉무지방산업단지도로(투찰)②+0.250%_마현생창(동양고속)_왜관-태평건설 2" xfId="2105"/>
    <cellStyle name="_신태백(가실행)_창원상수도(토목)투찰_봉무지방산업단지도로(투찰)②+0.250%_왜관-태평건설 2" xfId="2106"/>
    <cellStyle name="_신태백(가실행)_창원상수도(토목)투찰_왜관-태평건설 2" xfId="2107"/>
    <cellStyle name="_신태백(가실행)_창원상수도(토목)투찰_합덕-신례원(2공구)투찰 2" xfId="2108"/>
    <cellStyle name="_신태백(가실행)_창원상수도(토목)투찰_합덕-신례원(2공구)투찰_경찰서-터미널간도로(투찰)② 2" xfId="2109"/>
    <cellStyle name="_신태백(가실행)_창원상수도(토목)투찰_합덕-신례원(2공구)투찰_경찰서-터미널간도로(투찰)②_마현생창(동양고속) 2" xfId="2110"/>
    <cellStyle name="_신태백(가실행)_창원상수도(토목)투찰_합덕-신례원(2공구)투찰_경찰서-터미널간도로(투찰)②_마현생창(동양고속)_왜관-태평건설 2" xfId="2111"/>
    <cellStyle name="_신태백(가실행)_창원상수도(토목)투찰_합덕-신례원(2공구)투찰_경찰서-터미널간도로(투찰)②_왜관-태평건설 2" xfId="2112"/>
    <cellStyle name="_신태백(가실행)_창원상수도(토목)투찰_합덕-신례원(2공구)투찰_마현생창(동양고속) 2" xfId="2113"/>
    <cellStyle name="_신태백(가실행)_창원상수도(토목)투찰_합덕-신례원(2공구)투찰_마현생창(동양고속)_왜관-태평건설 2" xfId="2114"/>
    <cellStyle name="_신태백(가실행)_창원상수도(토목)투찰_합덕-신례원(2공구)투찰_봉무지방산업단지도로(투찰)② 2" xfId="2115"/>
    <cellStyle name="_신태백(가실행)_창원상수도(토목)투찰_합덕-신례원(2공구)투찰_봉무지방산업단지도로(투찰)②_마현생창(동양고속) 2" xfId="2116"/>
    <cellStyle name="_신태백(가실행)_창원상수도(토목)투찰_합덕-신례원(2공구)투찰_봉무지방산업단지도로(투찰)②_마현생창(동양고속)_왜관-태평건설 2" xfId="2117"/>
    <cellStyle name="_신태백(가실행)_창원상수도(토목)투찰_합덕-신례원(2공구)투찰_봉무지방산업단지도로(투찰)②_왜관-태평건설 2" xfId="2118"/>
    <cellStyle name="_신태백(가실행)_창원상수도(토목)투찰_합덕-신례원(2공구)투찰_봉무지방산업단지도로(투찰)②+0.250% 2" xfId="2119"/>
    <cellStyle name="_신태백(가실행)_창원상수도(토목)투찰_합덕-신례원(2공구)투찰_봉무지방산업단지도로(투찰)②+0.250%_마현생창(동양고속) 2" xfId="2120"/>
    <cellStyle name="_신태백(가실행)_창원상수도(토목)투찰_합덕-신례원(2공구)투찰_봉무지방산업단지도로(투찰)②+0.250%_마현생창(동양고속)_왜관-태평건설 2" xfId="2121"/>
    <cellStyle name="_신태백(가실행)_창원상수도(토목)투찰_합덕-신례원(2공구)투찰_봉무지방산업단지도로(투찰)②+0.250%_왜관-태평건설 2" xfId="2122"/>
    <cellStyle name="_신태백(가실행)_창원상수도(토목)투찰_합덕-신례원(2공구)투찰_왜관-태평건설 2" xfId="2123"/>
    <cellStyle name="_신태백(가실행)_창원상수도(토목)투찰_합덕-신례원(2공구)투찰_합덕-신례원(2공구)투찰 2" xfId="2124"/>
    <cellStyle name="_신태백(가실행)_창원상수도(토목)투찰_합덕-신례원(2공구)투찰_합덕-신례원(2공구)투찰_경찰서-터미널간도로(투찰)② 2" xfId="2125"/>
    <cellStyle name="_신태백(가실행)_창원상수도(토목)투찰_합덕-신례원(2공구)투찰_합덕-신례원(2공구)투찰_경찰서-터미널간도로(투찰)②_마현생창(동양고속) 2" xfId="2126"/>
    <cellStyle name="_신태백(가실행)_창원상수도(토목)투찰_합덕-신례원(2공구)투찰_합덕-신례원(2공구)투찰_경찰서-터미널간도로(투찰)②_마현생창(동양고속)_왜관-태평건설 2" xfId="2127"/>
    <cellStyle name="_신태백(가실행)_창원상수도(토목)투찰_합덕-신례원(2공구)투찰_합덕-신례원(2공구)투찰_경찰서-터미널간도로(투찰)②_왜관-태평건설 2" xfId="2128"/>
    <cellStyle name="_신태백(가실행)_창원상수도(토목)투찰_합덕-신례원(2공구)투찰_합덕-신례원(2공구)투찰_마현생창(동양고속) 2" xfId="2129"/>
    <cellStyle name="_신태백(가실행)_창원상수도(토목)투찰_합덕-신례원(2공구)투찰_합덕-신례원(2공구)투찰_마현생창(동양고속)_왜관-태평건설 2" xfId="2130"/>
    <cellStyle name="_신태백(가실행)_창원상수도(토목)투찰_합덕-신례원(2공구)투찰_합덕-신례원(2공구)투찰_봉무지방산업단지도로(투찰)② 2" xfId="2131"/>
    <cellStyle name="_신태백(가실행)_창원상수도(토목)투찰_합덕-신례원(2공구)투찰_합덕-신례원(2공구)투찰_봉무지방산업단지도로(투찰)②_마현생창(동양고속) 2" xfId="2132"/>
    <cellStyle name="_신태백(가실행)_창원상수도(토목)투찰_합덕-신례원(2공구)투찰_합덕-신례원(2공구)투찰_봉무지방산업단지도로(투찰)②_마현생창(동양고속)_왜관-태평건설 2" xfId="2133"/>
    <cellStyle name="_신태백(가실행)_창원상수도(토목)투찰_합덕-신례원(2공구)투찰_합덕-신례원(2공구)투찰_봉무지방산업단지도로(투찰)②_왜관-태평건설 2" xfId="2134"/>
    <cellStyle name="_신태백(가실행)_창원상수도(토목)투찰_합덕-신례원(2공구)투찰_합덕-신례원(2공구)투찰_봉무지방산업단지도로(투찰)②+0.250% 2" xfId="2135"/>
    <cellStyle name="_신태백(가실행)_창원상수도(토목)투찰_합덕-신례원(2공구)투찰_합덕-신례원(2공구)투찰_봉무지방산업단지도로(투찰)②+0.250%_마현생창(동양고속) 2" xfId="2136"/>
    <cellStyle name="_신태백(가실행)_창원상수도(토목)투찰_합덕-신례원(2공구)투찰_합덕-신례원(2공구)투찰_봉무지방산업단지도로(투찰)②+0.250%_마현생창(동양고속)_왜관-태평건설 2" xfId="2137"/>
    <cellStyle name="_신태백(가실행)_창원상수도(토목)투찰_합덕-신례원(2공구)투찰_합덕-신례원(2공구)투찰_봉무지방산업단지도로(투찰)②+0.250%_왜관-태평건설 2" xfId="2138"/>
    <cellStyle name="_신태백(가실행)_창원상수도(토목)투찰_합덕-신례원(2공구)투찰_합덕-신례원(2공구)투찰_왜관-태평건설 2" xfId="2139"/>
    <cellStyle name="_신태백(가실행)_합덕-신례원(2공구)투찰 2" xfId="2140"/>
    <cellStyle name="_신태백(가실행)_합덕-신례원(2공구)투찰_경찰서-터미널간도로(투찰)② 2" xfId="2141"/>
    <cellStyle name="_신태백(가실행)_합덕-신례원(2공구)투찰_경찰서-터미널간도로(투찰)②_마현생창(동양고속) 2" xfId="2142"/>
    <cellStyle name="_신태백(가실행)_합덕-신례원(2공구)투찰_경찰서-터미널간도로(투찰)②_마현생창(동양고속)_왜관-태평건설 2" xfId="2143"/>
    <cellStyle name="_신태백(가실행)_합덕-신례원(2공구)투찰_경찰서-터미널간도로(투찰)②_왜관-태평건설 2" xfId="2144"/>
    <cellStyle name="_신태백(가실행)_합덕-신례원(2공구)투찰_마현생창(동양고속) 2" xfId="2145"/>
    <cellStyle name="_신태백(가실행)_합덕-신례원(2공구)투찰_마현생창(동양고속)_왜관-태평건설 2" xfId="2146"/>
    <cellStyle name="_신태백(가실행)_합덕-신례원(2공구)투찰_봉무지방산업단지도로(투찰)② 2" xfId="2147"/>
    <cellStyle name="_신태백(가실행)_합덕-신례원(2공구)투찰_봉무지방산업단지도로(투찰)②_마현생창(동양고속) 2" xfId="2148"/>
    <cellStyle name="_신태백(가실행)_합덕-신례원(2공구)투찰_봉무지방산업단지도로(투찰)②_마현생창(동양고속)_왜관-태평건설 2" xfId="2149"/>
    <cellStyle name="_신태백(가실행)_합덕-신례원(2공구)투찰_봉무지방산업단지도로(투찰)②_왜관-태평건설 2" xfId="2150"/>
    <cellStyle name="_신태백(가실행)_합덕-신례원(2공구)투찰_봉무지방산업단지도로(투찰)②+0.250% 2" xfId="2151"/>
    <cellStyle name="_신태백(가실행)_합덕-신례원(2공구)투찰_봉무지방산업단지도로(투찰)②+0.250%_마현생창(동양고속) 2" xfId="2152"/>
    <cellStyle name="_신태백(가실행)_합덕-신례원(2공구)투찰_봉무지방산업단지도로(투찰)②+0.250%_마현생창(동양고속)_왜관-태평건설 2" xfId="2153"/>
    <cellStyle name="_신태백(가실행)_합덕-신례원(2공구)투찰_봉무지방산업단지도로(투찰)②+0.250%_왜관-태평건설 2" xfId="2154"/>
    <cellStyle name="_신태백(가실행)_합덕-신례원(2공구)투찰_왜관-태평건설 2" xfId="2155"/>
    <cellStyle name="_신태백(가실행)_합덕-신례원(2공구)투찰_합덕-신례원(2공구)투찰 2" xfId="2156"/>
    <cellStyle name="_신태백(가실행)_합덕-신례원(2공구)투찰_합덕-신례원(2공구)투찰_경찰서-터미널간도로(투찰)② 2" xfId="2157"/>
    <cellStyle name="_신태백(가실행)_합덕-신례원(2공구)투찰_합덕-신례원(2공구)투찰_경찰서-터미널간도로(투찰)②_마현생창(동양고속) 2" xfId="2158"/>
    <cellStyle name="_신태백(가실행)_합덕-신례원(2공구)투찰_합덕-신례원(2공구)투찰_경찰서-터미널간도로(투찰)②_마현생창(동양고속)_왜관-태평건설 2" xfId="2159"/>
    <cellStyle name="_신태백(가실행)_합덕-신례원(2공구)투찰_합덕-신례원(2공구)투찰_경찰서-터미널간도로(투찰)②_왜관-태평건설 2" xfId="2160"/>
    <cellStyle name="_신태백(가실행)_합덕-신례원(2공구)투찰_합덕-신례원(2공구)투찰_마현생창(동양고속) 2" xfId="2161"/>
    <cellStyle name="_신태백(가실행)_합덕-신례원(2공구)투찰_합덕-신례원(2공구)투찰_마현생창(동양고속)_왜관-태평건설 2" xfId="2162"/>
    <cellStyle name="_신태백(가실행)_합덕-신례원(2공구)투찰_합덕-신례원(2공구)투찰_봉무지방산업단지도로(투찰)② 2" xfId="2163"/>
    <cellStyle name="_신태백(가실행)_합덕-신례원(2공구)투찰_합덕-신례원(2공구)투찰_봉무지방산업단지도로(투찰)②_마현생창(동양고속) 2" xfId="2164"/>
    <cellStyle name="_신태백(가실행)_합덕-신례원(2공구)투찰_합덕-신례원(2공구)투찰_봉무지방산업단지도로(투찰)②_마현생창(동양고속)_왜관-태평건설 2" xfId="2165"/>
    <cellStyle name="_신태백(가실행)_합덕-신례원(2공구)투찰_합덕-신례원(2공구)투찰_봉무지방산업단지도로(투찰)②_왜관-태평건설 2" xfId="2166"/>
    <cellStyle name="_신태백(가실행)_합덕-신례원(2공구)투찰_합덕-신례원(2공구)투찰_봉무지방산업단지도로(투찰)②+0.250% 2" xfId="2167"/>
    <cellStyle name="_신태백(가실행)_합덕-신례원(2공구)투찰_합덕-신례원(2공구)투찰_봉무지방산업단지도로(투찰)②+0.250%_마현생창(동양고속) 2" xfId="2168"/>
    <cellStyle name="_신태백(가실행)_합덕-신례원(2공구)투찰_합덕-신례원(2공구)투찰_봉무지방산업단지도로(투찰)②+0.250%_마현생창(동양고속)_왜관-태평건설 2" xfId="2169"/>
    <cellStyle name="_신태백(가실행)_합덕-신례원(2공구)투찰_합덕-신례원(2공구)투찰_봉무지방산업단지도로(투찰)②+0.250%_왜관-태평건설 2" xfId="2170"/>
    <cellStyle name="_신태백(가실행)_합덕-신례원(2공구)투찰_합덕-신례원(2공구)투찰_왜관-태평건설 2" xfId="2171"/>
    <cellStyle name="_안산부대(투찰)⑤ 2" xfId="2172"/>
    <cellStyle name="_안산부대(투찰)⑤_경찰서-터미널간도로(투찰)② 2" xfId="2173"/>
    <cellStyle name="_안산부대(투찰)⑤_경찰서-터미널간도로(투찰)②_마현생창(동양고속) 2" xfId="2174"/>
    <cellStyle name="_안산부대(투찰)⑤_경찰서-터미널간도로(투찰)②_마현생창(동양고속)_왜관-태평건설 2" xfId="2175"/>
    <cellStyle name="_안산부대(투찰)⑤_경찰서-터미널간도로(투찰)②_왜관-태평건설 2" xfId="2176"/>
    <cellStyle name="_안산부대(투찰)⑤_마현생창(동양고속) 2" xfId="2177"/>
    <cellStyle name="_안산부대(투찰)⑤_마현생창(동양고속)_왜관-태평건설 2" xfId="2178"/>
    <cellStyle name="_안산부대(투찰)⑤_봉무지방산업단지도로(투찰)② 2" xfId="2179"/>
    <cellStyle name="_안산부대(투찰)⑤_봉무지방산업단지도로(투찰)②_마현생창(동양고속) 2" xfId="2180"/>
    <cellStyle name="_안산부대(투찰)⑤_봉무지방산업단지도로(투찰)②_마현생창(동양고속)_왜관-태평건설 2" xfId="2181"/>
    <cellStyle name="_안산부대(투찰)⑤_봉무지방산업단지도로(투찰)②_왜관-태평건설 2" xfId="2182"/>
    <cellStyle name="_안산부대(투찰)⑤_봉무지방산업단지도로(투찰)②+0.250% 2" xfId="2183"/>
    <cellStyle name="_안산부대(투찰)⑤_봉무지방산업단지도로(투찰)②+0.250%_마현생창(동양고속) 2" xfId="2184"/>
    <cellStyle name="_안산부대(투찰)⑤_봉무지방산업단지도로(투찰)②+0.250%_마현생창(동양고속)_왜관-태평건설 2" xfId="2185"/>
    <cellStyle name="_안산부대(투찰)⑤_봉무지방산업단지도로(투찰)②+0.250%_왜관-태평건설 2" xfId="2186"/>
    <cellStyle name="_안산부대(투찰)⑤_왜관-태평건설 2" xfId="2187"/>
    <cellStyle name="_안산부대(투찰)⑤_합덕-신례원(2공구)투찰 2" xfId="2188"/>
    <cellStyle name="_안산부대(투찰)⑤_합덕-신례원(2공구)투찰_경찰서-터미널간도로(투찰)② 2" xfId="2189"/>
    <cellStyle name="_안산부대(투찰)⑤_합덕-신례원(2공구)투찰_경찰서-터미널간도로(투찰)②_마현생창(동양고속) 2" xfId="2190"/>
    <cellStyle name="_안산부대(투찰)⑤_합덕-신례원(2공구)투찰_경찰서-터미널간도로(투찰)②_마현생창(동양고속)_왜관-태평건설 2" xfId="2191"/>
    <cellStyle name="_안산부대(투찰)⑤_합덕-신례원(2공구)투찰_경찰서-터미널간도로(투찰)②_왜관-태평건설 2" xfId="2192"/>
    <cellStyle name="_안산부대(투찰)⑤_합덕-신례원(2공구)투찰_마현생창(동양고속) 2" xfId="2193"/>
    <cellStyle name="_안산부대(투찰)⑤_합덕-신례원(2공구)투찰_마현생창(동양고속)_왜관-태평건설 2" xfId="2194"/>
    <cellStyle name="_안산부대(투찰)⑤_합덕-신례원(2공구)투찰_봉무지방산업단지도로(투찰)② 2" xfId="2195"/>
    <cellStyle name="_안산부대(투찰)⑤_합덕-신례원(2공구)투찰_봉무지방산업단지도로(투찰)②_마현생창(동양고속) 2" xfId="2196"/>
    <cellStyle name="_안산부대(투찰)⑤_합덕-신례원(2공구)투찰_봉무지방산업단지도로(투찰)②_마현생창(동양고속)_왜관-태평건설 2" xfId="2197"/>
    <cellStyle name="_안산부대(투찰)⑤_합덕-신례원(2공구)투찰_봉무지방산업단지도로(투찰)②_왜관-태평건설 2" xfId="2198"/>
    <cellStyle name="_안산부대(투찰)⑤_합덕-신례원(2공구)투찰_봉무지방산업단지도로(투찰)②+0.250% 2" xfId="2199"/>
    <cellStyle name="_안산부대(투찰)⑤_합덕-신례원(2공구)투찰_봉무지방산업단지도로(투찰)②+0.250%_마현생창(동양고속) 2" xfId="2200"/>
    <cellStyle name="_안산부대(투찰)⑤_합덕-신례원(2공구)투찰_봉무지방산업단지도로(투찰)②+0.250%_마현생창(동양고속)_왜관-태평건설 2" xfId="2201"/>
    <cellStyle name="_안산부대(투찰)⑤_합덕-신례원(2공구)투찰_봉무지방산업단지도로(투찰)②+0.250%_왜관-태평건설 2" xfId="2202"/>
    <cellStyle name="_안산부대(투찰)⑤_합덕-신례원(2공구)투찰_왜관-태평건설 2" xfId="2203"/>
    <cellStyle name="_안산부대(투찰)⑤_합덕-신례원(2공구)투찰_합덕-신례원(2공구)투찰 2" xfId="2204"/>
    <cellStyle name="_안산부대(투찰)⑤_합덕-신례원(2공구)투찰_합덕-신례원(2공구)투찰_경찰서-터미널간도로(투찰)② 2" xfId="2205"/>
    <cellStyle name="_안산부대(투찰)⑤_합덕-신례원(2공구)투찰_합덕-신례원(2공구)투찰_경찰서-터미널간도로(투찰)②_마현생창(동양고속) 2" xfId="2206"/>
    <cellStyle name="_안산부대(투찰)⑤_합덕-신례원(2공구)투찰_합덕-신례원(2공구)투찰_경찰서-터미널간도로(투찰)②_마현생창(동양고속)_왜관-태평건설 2" xfId="2207"/>
    <cellStyle name="_안산부대(투찰)⑤_합덕-신례원(2공구)투찰_합덕-신례원(2공구)투찰_경찰서-터미널간도로(투찰)②_왜관-태평건설 2" xfId="2208"/>
    <cellStyle name="_안산부대(투찰)⑤_합덕-신례원(2공구)투찰_합덕-신례원(2공구)투찰_마현생창(동양고속) 2" xfId="2209"/>
    <cellStyle name="_안산부대(투찰)⑤_합덕-신례원(2공구)투찰_합덕-신례원(2공구)투찰_마현생창(동양고속)_왜관-태평건설 2" xfId="2210"/>
    <cellStyle name="_안산부대(투찰)⑤_합덕-신례원(2공구)투찰_합덕-신례원(2공구)투찰_봉무지방산업단지도로(투찰)② 2" xfId="2211"/>
    <cellStyle name="_안산부대(투찰)⑤_합덕-신례원(2공구)투찰_합덕-신례원(2공구)투찰_봉무지방산업단지도로(투찰)②_마현생창(동양고속) 2" xfId="2212"/>
    <cellStyle name="_안산부대(투찰)⑤_합덕-신례원(2공구)투찰_합덕-신례원(2공구)투찰_봉무지방산업단지도로(투찰)②_마현생창(동양고속)_왜관-태평건설 2" xfId="2213"/>
    <cellStyle name="_안산부대(투찰)⑤_합덕-신례원(2공구)투찰_합덕-신례원(2공구)투찰_봉무지방산업단지도로(투찰)②_왜관-태평건설 2" xfId="2214"/>
    <cellStyle name="_안산부대(투찰)⑤_합덕-신례원(2공구)투찰_합덕-신례원(2공구)투찰_봉무지방산업단지도로(투찰)②+0.250% 2" xfId="2215"/>
    <cellStyle name="_안산부대(투찰)⑤_합덕-신례원(2공구)투찰_합덕-신례원(2공구)투찰_봉무지방산업단지도로(투찰)②+0.250%_마현생창(동양고속) 2" xfId="2216"/>
    <cellStyle name="_안산부대(투찰)⑤_합덕-신례원(2공구)투찰_합덕-신례원(2공구)투찰_봉무지방산업단지도로(투찰)②+0.250%_마현생창(동양고속)_왜관-태평건설 2" xfId="2217"/>
    <cellStyle name="_안산부대(투찰)⑤_합덕-신례원(2공구)투찰_합덕-신례원(2공구)투찰_봉무지방산업단지도로(투찰)②+0.250%_왜관-태평건설 2" xfId="2218"/>
    <cellStyle name="_안산부대(투찰)⑤_합덕-신례원(2공구)투찰_합덕-신례원(2공구)투찰_왜관-태평건설 2" xfId="2219"/>
    <cellStyle name="_우 2" xfId="2220"/>
    <cellStyle name="_우_광주평동투찰 2" xfId="2221"/>
    <cellStyle name="_우_광주평동품의1 2" xfId="2222"/>
    <cellStyle name="_우_송학하수품의(설계넣고) 2" xfId="2223"/>
    <cellStyle name="_우_우주센터투찰 2" xfId="2224"/>
    <cellStyle name="_우_우주센터투찰_광주평동투찰 2" xfId="2225"/>
    <cellStyle name="_우_우주센터투찰_광주평동품의1 2" xfId="2226"/>
    <cellStyle name="_우_우주센터투찰_송학하수품의(설계넣고) 2" xfId="2227"/>
    <cellStyle name="_우주센 2" xfId="2228"/>
    <cellStyle name="_우주센_광주평동투찰 2" xfId="2229"/>
    <cellStyle name="_우주센_광주평동품의1 2" xfId="2230"/>
    <cellStyle name="_우주센_송학하수품의(설계넣고) 2" xfId="2231"/>
    <cellStyle name="_우주센_우주센터투찰 2" xfId="2232"/>
    <cellStyle name="_우주센_우주센터투찰_광주평동투찰 2" xfId="2233"/>
    <cellStyle name="_우주센_우주센터투찰_광주평동품의1 2" xfId="2234"/>
    <cellStyle name="_우주센_우주센터투찰_송학하수품의(설계넣고) 2" xfId="2235"/>
    <cellStyle name="_유치투찰 2" xfId="2236"/>
    <cellStyle name="_유치투찰_왜관-태평건설 2" xfId="2237"/>
    <cellStyle name="_이양능주(2공구)bid전기 2" xfId="2238"/>
    <cellStyle name="_인원계획표  2" xfId="2239"/>
    <cellStyle name="_인원계획표 _광주평동투찰 2" xfId="2240"/>
    <cellStyle name="_인원계획표 _광주평동품의1 2" xfId="2241"/>
    <cellStyle name="_인원계획표 _송학하수품의(설계넣고) 2" xfId="2242"/>
    <cellStyle name="_인원계획표 _적격  2" xfId="2243"/>
    <cellStyle name="_인원계획표 _적격 _광주평동투찰 2" xfId="2244"/>
    <cellStyle name="_인원계획표 _적격 _광주평동품의1 2" xfId="2245"/>
    <cellStyle name="_인원계획표 _적격 _송학하수품의(설계넣고) 2" xfId="2246"/>
    <cellStyle name="_입찰표지  2" xfId="2247"/>
    <cellStyle name="_입찰표지 _광주평동투찰 2" xfId="2248"/>
    <cellStyle name="_입찰표지 _광주평동품의1 2" xfId="2249"/>
    <cellStyle name="_입찰표지 _송학하수품의(설계넣고) 2" xfId="2250"/>
    <cellStyle name="_장성IC투찰 2" xfId="2251"/>
    <cellStyle name="_장성IC투찰_경찰서-터미널간도로(투찰)② 2" xfId="2252"/>
    <cellStyle name="_장성IC투찰_경찰서-터미널간도로(투찰)②_마현생창(동양고속) 2" xfId="2253"/>
    <cellStyle name="_장성IC투찰_경찰서-터미널간도로(투찰)②_마현생창(동양고속)_왜관-태평건설 2" xfId="2254"/>
    <cellStyle name="_장성IC투찰_경찰서-터미널간도로(투찰)②_왜관-태평건설 2" xfId="2255"/>
    <cellStyle name="_장성IC투찰_마현생창(동양고속) 2" xfId="2256"/>
    <cellStyle name="_장성IC투찰_마현생창(동양고속)_왜관-태평건설 2" xfId="2257"/>
    <cellStyle name="_장성IC투찰_봉무지방산업단지도로(투찰)② 2" xfId="2258"/>
    <cellStyle name="_장성IC투찰_봉무지방산업단지도로(투찰)②_마현생창(동양고속) 2" xfId="2259"/>
    <cellStyle name="_장성IC투찰_봉무지방산업단지도로(투찰)②_마현생창(동양고속)_왜관-태평건설 2" xfId="2260"/>
    <cellStyle name="_장성IC투찰_봉무지방산업단지도로(투찰)②_왜관-태평건설 2" xfId="2261"/>
    <cellStyle name="_장성IC투찰_봉무지방산업단지도로(투찰)②+0.250% 2" xfId="2262"/>
    <cellStyle name="_장성IC투찰_봉무지방산업단지도로(투찰)②+0.250%_마현생창(동양고속) 2" xfId="2263"/>
    <cellStyle name="_장성IC투찰_봉무지방산업단지도로(투찰)②+0.250%_마현생창(동양고속)_왜관-태평건설 2" xfId="2264"/>
    <cellStyle name="_장성IC투찰_봉무지방산업단지도로(투찰)②+0.250%_왜관-태평건설 2" xfId="2265"/>
    <cellStyle name="_장성IC투찰_왜관-태평건설 2" xfId="2266"/>
    <cellStyle name="_장성IC투찰_합덕-신례원(2공구)투찰 2" xfId="2267"/>
    <cellStyle name="_장성IC투찰_합덕-신례원(2공구)투찰_경찰서-터미널간도로(투찰)② 2" xfId="2268"/>
    <cellStyle name="_장성IC투찰_합덕-신례원(2공구)투찰_경찰서-터미널간도로(투찰)②_마현생창(동양고속) 2" xfId="2269"/>
    <cellStyle name="_장성IC투찰_합덕-신례원(2공구)투찰_경찰서-터미널간도로(투찰)②_마현생창(동양고속)_왜관-태평건설 2" xfId="2270"/>
    <cellStyle name="_장성IC투찰_합덕-신례원(2공구)투찰_경찰서-터미널간도로(투찰)②_왜관-태평건설 2" xfId="2271"/>
    <cellStyle name="_장성IC투찰_합덕-신례원(2공구)투찰_마현생창(동양고속) 2" xfId="2272"/>
    <cellStyle name="_장성IC투찰_합덕-신례원(2공구)투찰_마현생창(동양고속)_왜관-태평건설 2" xfId="2273"/>
    <cellStyle name="_장성IC투찰_합덕-신례원(2공구)투찰_봉무지방산업단지도로(투찰)② 2" xfId="2274"/>
    <cellStyle name="_장성IC투찰_합덕-신례원(2공구)투찰_봉무지방산업단지도로(투찰)②_마현생창(동양고속) 2" xfId="2275"/>
    <cellStyle name="_장성IC투찰_합덕-신례원(2공구)투찰_봉무지방산업단지도로(투찰)②_마현생창(동양고속)_왜관-태평건설 2" xfId="2276"/>
    <cellStyle name="_장성IC투찰_합덕-신례원(2공구)투찰_봉무지방산업단지도로(투찰)②_왜관-태평건설 2" xfId="2277"/>
    <cellStyle name="_장성IC투찰_합덕-신례원(2공구)투찰_봉무지방산업단지도로(투찰)②+0.250% 2" xfId="2278"/>
    <cellStyle name="_장성IC투찰_합덕-신례원(2공구)투찰_봉무지방산업단지도로(투찰)②+0.250%_마현생창(동양고속) 2" xfId="2279"/>
    <cellStyle name="_장성IC투찰_합덕-신례원(2공구)투찰_봉무지방산업단지도로(투찰)②+0.250%_마현생창(동양고속)_왜관-태평건설 2" xfId="2280"/>
    <cellStyle name="_장성IC투찰_합덕-신례원(2공구)투찰_봉무지방산업단지도로(투찰)②+0.250%_왜관-태평건설 2" xfId="2281"/>
    <cellStyle name="_장성IC투찰_합덕-신례원(2공구)투찰_왜관-태평건설 2" xfId="2282"/>
    <cellStyle name="_장성IC투찰_합덕-신례원(2공구)투찰_합덕-신례원(2공구)투찰 2" xfId="2283"/>
    <cellStyle name="_장성IC투찰_합덕-신례원(2공구)투찰_합덕-신례원(2공구)투찰_경찰서-터미널간도로(투찰)② 2" xfId="2284"/>
    <cellStyle name="_장성IC투찰_합덕-신례원(2공구)투찰_합덕-신례원(2공구)투찰_경찰서-터미널간도로(투찰)②_마현생창(동양고속) 2" xfId="2285"/>
    <cellStyle name="_장성IC투찰_합덕-신례원(2공구)투찰_합덕-신례원(2공구)투찰_경찰서-터미널간도로(투찰)②_마현생창(동양고속)_왜관-태평건설 2" xfId="2286"/>
    <cellStyle name="_장성IC투찰_합덕-신례원(2공구)투찰_합덕-신례원(2공구)투찰_경찰서-터미널간도로(투찰)②_왜관-태평건설 2" xfId="2287"/>
    <cellStyle name="_장성IC투찰_합덕-신례원(2공구)투찰_합덕-신례원(2공구)투찰_마현생창(동양고속) 2" xfId="2288"/>
    <cellStyle name="_장성IC투찰_합덕-신례원(2공구)투찰_합덕-신례원(2공구)투찰_마현생창(동양고속)_왜관-태평건설 2" xfId="2289"/>
    <cellStyle name="_장성IC투찰_합덕-신례원(2공구)투찰_합덕-신례원(2공구)투찰_봉무지방산업단지도로(투찰)② 2" xfId="2290"/>
    <cellStyle name="_장성IC투찰_합덕-신례원(2공구)투찰_합덕-신례원(2공구)투찰_봉무지방산업단지도로(투찰)②_마현생창(동양고속) 2" xfId="2291"/>
    <cellStyle name="_장성IC투찰_합덕-신례원(2공구)투찰_합덕-신례원(2공구)투찰_봉무지방산업단지도로(투찰)②_마현생창(동양고속)_왜관-태평건설 2" xfId="2292"/>
    <cellStyle name="_장성IC투찰_합덕-신례원(2공구)투찰_합덕-신례원(2공구)투찰_봉무지방산업단지도로(투찰)②_왜관-태평건설 2" xfId="2293"/>
    <cellStyle name="_장성IC투찰_합덕-신례원(2공구)투찰_합덕-신례원(2공구)투찰_봉무지방산업단지도로(투찰)②+0.250% 2" xfId="2294"/>
    <cellStyle name="_장성IC투찰_합덕-신례원(2공구)투찰_합덕-신례원(2공구)투찰_봉무지방산업단지도로(투찰)②+0.250%_마현생창(동양고속) 2" xfId="2295"/>
    <cellStyle name="_장성IC투찰_합덕-신례원(2공구)투찰_합덕-신례원(2공구)투찰_봉무지방산업단지도로(투찰)②+0.250%_마현생창(동양고속)_왜관-태평건설 2" xfId="2296"/>
    <cellStyle name="_장성IC투찰_합덕-신례원(2공구)투찰_합덕-신례원(2공구)투찰_봉무지방산업단지도로(투찰)②+0.250%_왜관-태평건설 2" xfId="2297"/>
    <cellStyle name="_장성IC투찰_합덕-신례원(2공구)투찰_합덕-신례원(2공구)투찰_왜관-태평건설 2" xfId="2298"/>
    <cellStyle name="_적격  2" xfId="2299"/>
    <cellStyle name="_적격 _광주평동투찰 2" xfId="2300"/>
    <cellStyle name="_적격 _광주평동품의1 2" xfId="2301"/>
    <cellStyle name="_적격 _송학하수품의(설계넣고) 2" xfId="2302"/>
    <cellStyle name="_적격 _집행갑지  2" xfId="2303"/>
    <cellStyle name="_적격 _집행갑지 _광주평동투찰 2" xfId="2304"/>
    <cellStyle name="_적격 _집행갑지 _광주평동품의1 2" xfId="2305"/>
    <cellStyle name="_적격 _집행갑지 _송학하수품의(설계넣고) 2" xfId="2306"/>
    <cellStyle name="_적격(화산)  2" xfId="2307"/>
    <cellStyle name="_적격(화산) _광주평동투찰 2" xfId="2308"/>
    <cellStyle name="_적격(화산) _광주평동품의1 2" xfId="2309"/>
    <cellStyle name="_적격(화산) _송학하수품의(설계넣고) 2" xfId="2310"/>
    <cellStyle name="_제출용병천하수(지역관로1) 2" xfId="2311"/>
    <cellStyle name="_제출용병천하수(지역관로1)_광주평동투찰 2" xfId="2312"/>
    <cellStyle name="_제출용병천하수(지역관로1)_광주평동품의1 2" xfId="2313"/>
    <cellStyle name="_제출용병천하수(지역관로1)_송학하수품의(설계넣고) 2" xfId="2314"/>
    <cellStyle name="_집행갑지  2" xfId="2315"/>
    <cellStyle name="_집행갑지 _광주평동투찰 2" xfId="2316"/>
    <cellStyle name="_집행갑지 _광주평동품의1 2" xfId="2317"/>
    <cellStyle name="_집행갑지 _송학하수품의(설계넣고) 2" xfId="2318"/>
    <cellStyle name="὜ĀȀက 2" xfId="2319"/>
    <cellStyle name="1_시민계략공사 2" xfId="2320"/>
    <cellStyle name="1_시민계략공사_도암강진(흥산건설) 2" xfId="2321"/>
    <cellStyle name="1_시민계략공사_도암강진(흥산건설)_해남내역서 2" xfId="2322"/>
    <cellStyle name="1_시민계략공사_부안-태인1산출 2" xfId="2323"/>
    <cellStyle name="1_시민계략공사_주문진신리교(동일건설) 2" xfId="2324"/>
    <cellStyle name="1_시민계략공사_흥한건설(이양능주2공구) 2" xfId="2325"/>
    <cellStyle name="¹e 2" xfId="2326"/>
    <cellStyle name="A 2" xfId="2327"/>
    <cellStyle name="A_거성토건도급계약내역(신일중고) 2" xfId="2328"/>
    <cellStyle name="A_부대초안 2" xfId="2329"/>
    <cellStyle name="A_부대초안_견적의뢰 2" xfId="2330"/>
    <cellStyle name="A_부대초안_김포투찰_견적의뢰 2" xfId="2331"/>
    <cellStyle name="A_토목내역서 2" xfId="2332"/>
    <cellStyle name="A_토목내역서_부대초안 2" xfId="2333"/>
    <cellStyle name="A_토목내역서_부대초안_견적의뢰 2" xfId="2334"/>
    <cellStyle name="A_토목내역서_부대초안_김포투찰_견적의뢰 2" xfId="2335"/>
    <cellStyle name="Aⓒ­ 2" xfId="2336"/>
    <cellStyle name="Ae 2" xfId="2337"/>
    <cellStyle name="Aee­  2" xfId="2338"/>
    <cellStyle name="Aee¡ 2" xfId="2339"/>
    <cellStyle name="Aþ¸ 2" xfId="2340"/>
    <cellStyle name="_x0001_b 2" xfId="2341"/>
    <cellStyle name="C 2" xfId="2342"/>
    <cellStyle name="C_거성토건도급계약내역(신일중고) 2" xfId="2343"/>
    <cellStyle name="C_부대초안 2" xfId="2344"/>
    <cellStyle name="C_부대초안_견적의뢰 2" xfId="2345"/>
    <cellStyle name="C_부대초안_김포투찰_견적의뢰 2" xfId="2346"/>
    <cellStyle name="C_토목내역서 2" xfId="2347"/>
    <cellStyle name="C_토목내역서_부대초안 2" xfId="2348"/>
    <cellStyle name="C_토목내역서_부대초안_견적의뢰 2" xfId="2349"/>
    <cellStyle name="C_토목내역서_부대초안_김포투찰_견적의뢰 2" xfId="2350"/>
    <cellStyle name="Calc Currency (0) 2" xfId="2351"/>
    <cellStyle name="ⓒo 2" xfId="2352"/>
    <cellStyle name="Comma [0] 2" xfId="2353"/>
    <cellStyle name="Comma0 2" xfId="2354"/>
    <cellStyle name="Currency0 2" xfId="2355"/>
    <cellStyle name="Date 3 2" xfId="2356"/>
    <cellStyle name="Fixed 3 2" xfId="2357"/>
    <cellStyle name="Heading 1 2" xfId="2358"/>
    <cellStyle name="Heading 2 2" xfId="2359"/>
    <cellStyle name="Total 3 2" xfId="2360"/>
    <cellStyle name="기본내역서 2" xfId="2361"/>
    <cellStyle name="끼_x0001_? 2" xfId="2362"/>
    <cellStyle name="메모 3 2" xfId="2363"/>
    <cellStyle name="배분 2" xfId="2364"/>
    <cellStyle name="백 2" xfId="2365"/>
    <cellStyle name="백_거성토건도급계약내역(신일중고) 2" xfId="2366"/>
    <cellStyle name="백_부대초안 2" xfId="2367"/>
    <cellStyle name="백_부대초안_견적의뢰 2" xfId="2368"/>
    <cellStyle name="백_부대초안_김포투찰_견적의뢰 2" xfId="2369"/>
    <cellStyle name="백_토목내역서 2" xfId="2370"/>
    <cellStyle name="백_토목내역서_부대초안 2" xfId="2371"/>
    <cellStyle name="백_토목내역서_부대초안_견적의뢰 2" xfId="2372"/>
    <cellStyle name="백_토목내역서_부대초안_김포투찰_견적의뢰 2" xfId="2373"/>
    <cellStyle name="백분율 10 2" xfId="2374"/>
    <cellStyle name="백분율 11 2" xfId="2375"/>
    <cellStyle name="백분율 12 2" xfId="2376"/>
    <cellStyle name="백분율 13 2" xfId="2377"/>
    <cellStyle name="백분율 2 4" xfId="2378"/>
    <cellStyle name="백분율 2 3 2" xfId="2379"/>
    <cellStyle name="백분율 3 2" xfId="2380"/>
    <cellStyle name="백분율 4 2" xfId="2381"/>
    <cellStyle name="백분율 5 2" xfId="2382"/>
    <cellStyle name="백분율 6 2" xfId="2383"/>
    <cellStyle name="백분율 7 2" xfId="2384"/>
    <cellStyle name="백분율 8 2" xfId="2385"/>
    <cellStyle name="백분율 9 2" xfId="2386"/>
    <cellStyle name="백분율［△1］ 2" xfId="2387"/>
    <cellStyle name="백분율［△2］ 2" xfId="2388"/>
    <cellStyle name="빨강 2" xfId="2389"/>
    <cellStyle name="선택영역의 가운데로 2" xfId="2390"/>
    <cellStyle name="소수4 2" xfId="2391"/>
    <cellStyle name="소수점 2" xfId="2392"/>
    <cellStyle name="쉼표 [0] 8" xfId="2393"/>
    <cellStyle name="쉼표 [0] 2 6" xfId="2394"/>
    <cellStyle name="쉼표 [0] 2 2 3" xfId="2395"/>
    <cellStyle name="쉼표 [0] 2 2 2 2" xfId="2396"/>
    <cellStyle name="쉼표 [0] 2 3 2" xfId="2397"/>
    <cellStyle name="쉼표 [0] 2 4 2" xfId="2398"/>
    <cellStyle name="쉼표 [0] 3 3" xfId="2399"/>
    <cellStyle name="쉼표 [0] 3 2 2" xfId="2400"/>
    <cellStyle name="쉼표 [0] 4 3" xfId="2401"/>
    <cellStyle name="쉼표 [0] 4 2 2" xfId="2402"/>
    <cellStyle name="쉼표 [0] 5 2" xfId="2403"/>
    <cellStyle name="원_가월리배수펌프(04.23) 2" xfId="2404"/>
    <cellStyle name="콤 2" xfId="2405"/>
    <cellStyle name="콤_거성토건도급계약내역(신일중고) 2" xfId="2406"/>
    <cellStyle name="콤_부대초안 2" xfId="2407"/>
    <cellStyle name="콤_부대초안_견적의뢰 2" xfId="2408"/>
    <cellStyle name="콤_부대초안_김포투찰_견적의뢰 2" xfId="2409"/>
    <cellStyle name="콤_토목내역서 2" xfId="2410"/>
    <cellStyle name="콤_토목내역서_부대초안 2" xfId="2411"/>
    <cellStyle name="콤_토목내역서_부대초안_견적의뢰 2" xfId="2412"/>
    <cellStyle name="콤_토목내역서_부대초안_김포투찰_견적의뢰 2" xfId="2413"/>
    <cellStyle name="콤마 [ 2" xfId="2414"/>
    <cellStyle name="콤마 [#] 2" xfId="2415"/>
    <cellStyle name="콤마 [0] 2" xfId="2416"/>
    <cellStyle name="콤마 [소수] 2" xfId="2417"/>
    <cellStyle name="콤마 [수량] 2" xfId="2418"/>
    <cellStyle name="통 2" xfId="2419"/>
    <cellStyle name="통_거성토건도급계약내역(신일중고) 2" xfId="2420"/>
    <cellStyle name="통_부대초안 2" xfId="2421"/>
    <cellStyle name="통_부대초안_견적의뢰 2" xfId="2422"/>
    <cellStyle name="통_부대초안_김포투찰_견적의뢰 2" xfId="2423"/>
    <cellStyle name="통_토목내역서 2" xfId="2424"/>
    <cellStyle name="통_토목내역서_부대초안 2" xfId="2425"/>
    <cellStyle name="통_토목내역서_부대초안_견적의뢰 2" xfId="2426"/>
    <cellStyle name="통_토목내역서_부대초안_김포투찰_견적의뢰 2" xfId="2427"/>
    <cellStyle name="통화 [ 2" xfId="2428"/>
    <cellStyle name="통화 [0] 2 2" xfId="2429"/>
    <cellStyle name="통화 [0] 3 2" xfId="2430"/>
    <cellStyle name="표 2" xfId="2431"/>
    <cellStyle name="표_거성토건도급계약내역(신일중고) 2" xfId="2432"/>
    <cellStyle name="표_부대초안 2" xfId="2433"/>
    <cellStyle name="표_부대초안_견적의뢰 2" xfId="2434"/>
    <cellStyle name="표_부대초안_김포투찰_견적의뢰 2" xfId="2435"/>
    <cellStyle name="표_토목내역서 2" xfId="2436"/>
    <cellStyle name="표_토목내역서_부대초안 2" xfId="2437"/>
    <cellStyle name="표_토목내역서_부대초안_견적의뢰 2" xfId="2438"/>
    <cellStyle name="표_토목내역서_부대초안_김포투찰_견적의뢰 2" xfId="2439"/>
    <cellStyle name="표준 10 2" xfId="2440"/>
    <cellStyle name="표준 11 2" xfId="2441"/>
    <cellStyle name="표준 13 2" xfId="2442"/>
    <cellStyle name="표준 14 2" xfId="2443"/>
    <cellStyle name="표준 15 2" xfId="2444"/>
    <cellStyle name="표준 16 2" xfId="2445"/>
    <cellStyle name="표준 2 2 4" xfId="2446"/>
    <cellStyle name="표준 2 2 2 2" xfId="2447"/>
    <cellStyle name="표준 2 2 3 2" xfId="2448"/>
    <cellStyle name="표준 2 3 2" xfId="2449"/>
    <cellStyle name="표준 3 5" xfId="2450"/>
    <cellStyle name="표준 3 2 3" xfId="2451"/>
    <cellStyle name="표준 3 2 2 2" xfId="2452"/>
    <cellStyle name="표준 4 5" xfId="2453"/>
    <cellStyle name="표준 4 2 2" xfId="2454"/>
    <cellStyle name="표준 5 4" xfId="2455"/>
    <cellStyle name="표준 5 2 2" xfId="2456"/>
    <cellStyle name="표준 6 3" xfId="2457"/>
    <cellStyle name="표준 6 2 2" xfId="2458"/>
    <cellStyle name="표준 7 4" xfId="2459"/>
    <cellStyle name="표준 7 2 2" xfId="2460"/>
    <cellStyle name="표준 8 3" xfId="2461"/>
    <cellStyle name="표준 8 2 2" xfId="2462"/>
    <cellStyle name="쉼표 [0] 6 2" xfId="2463"/>
    <cellStyle name="표준 18 2" xfId="2464"/>
    <cellStyle name="쉼표 [0] 7 2" xfId="2465"/>
    <cellStyle name="쉼표 [0] 2 5 2" xfId="2466"/>
    <cellStyle name="백분율 15 2" xfId="246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64190</colOff>
      <row>20</row>
      <rowOff>9525</rowOff>
    </from>
    <to>
      <col>6</col>
      <colOff>649640</colOff>
      <row>21</row>
      <rowOff>301875</rowOff>
    </to>
    <pic>
      <nvPicPr>
        <cNvPr id="4" name="그림 3"/>
        <cNvPicPr preferRelativeResize="0"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78740" y="7629525"/>
          <a:ext cx="2700000" cy="54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1714</colOff>
      <row>0</row>
      <rowOff>117100</rowOff>
    </from>
    <to>
      <col>9</col>
      <colOff>695433</colOff>
      <row>2</row>
      <rowOff>19708</rowOff>
    </to>
    <pic>
      <nvPicPr>
        <cNvPr id="3" name="그림 2" descr="맑은 파란 하늘을 배경으로 하는 건물 외관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>
          <alphaModFix amt="20000"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714" y="117100"/>
          <a:ext cx="7019633" cy="66460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17</col>
      <colOff>488156</colOff>
      <row>4</row>
      <rowOff>11906</rowOff>
    </from>
    <to>
      <col>27</col>
      <colOff>0</colOff>
      <row>6</row>
      <rowOff>214312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234097" y="2096200"/>
          <a:ext cx="4151079" cy="9532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495085</colOff>
      <row>6</row>
      <rowOff>229228</rowOff>
    </from>
    <to>
      <col>27</col>
      <colOff>75676</colOff>
      <row>9</row>
      <rowOff>261478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 l="21631" t="20458" r="18715" b="25296"/>
        <a:stretch xmlns:a="http://schemas.openxmlformats.org/drawingml/2006/main">
          <a:fillRect/>
        </a:stretch>
      </blipFill>
      <spPr>
        <a:xfrm xmlns:a="http://schemas.openxmlformats.org/drawingml/2006/main">
          <a:off x="10333049" y="2869014"/>
          <a:ext cx="1063770" cy="108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4</col>
      <colOff>9525</colOff>
      <row>35</row>
      <rowOff>32755</rowOff>
    </from>
    <to>
      <col>6</col>
      <colOff>1024575</colOff>
      <row>1048576</row>
      <rowOff>11755</rowOff>
    </to>
    <pic>
      <nvPicPr>
        <cNvPr id="4" name="그림 3"/>
        <cNvPicPr preferRelativeResize="0"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9850" y="9900655"/>
          <a:ext cx="2520000" cy="36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4</col>
      <colOff>133350</colOff>
      <row>35</row>
      <rowOff>38100</rowOff>
    </from>
    <to>
      <col>7</col>
      <colOff>53025</colOff>
      <row>1048576</row>
      <rowOff>17100</rowOff>
    </to>
    <pic>
      <nvPicPr>
        <cNvPr id="4" name="그림 3"/>
        <cNvPicPr preferRelativeResize="0"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33675" y="10239375"/>
          <a:ext cx="2520000" cy="36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4</col>
      <colOff>133350</colOff>
      <row>35</row>
      <rowOff>38100</rowOff>
    </from>
    <to>
      <col>7</col>
      <colOff>53025</colOff>
      <row>1048576</row>
      <rowOff>17100</rowOff>
    </to>
    <pic>
      <nvPicPr>
        <cNvPr id="4" name="그림 3"/>
        <cNvPicPr preferRelativeResize="0"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33675" y="10239375"/>
          <a:ext cx="2520000" cy="36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YCHWANG\&#51105;&#46041;&#49324;&#45768;\NYJ\PLAN\97PLAN\0924\&#51228;&#54408;&#48324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51221;&#49457;&#50864;\&#50504;&#50577;&#49884;\&#47928;&#50976;&#49457;\2001&#45800;&#44032;&#44228;&#50557;(&#44148;&#49444;&#44277;&#49324;)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45824;&#51652;&#44148;&#49444;\&#49688;&#50896;&#49884;\My%20Documents\2001&#45380;&#44036;&#45800;&#44032;\2001&#45800;&#44032;&#44228;&#50557;(&#44148;&#49444;&#44277;&#49324;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조명율표"/>
    </sheetNames>
    <sheetDataSet>
      <sheetData sheetId="0">
        <row r="72">
          <cell r="AA72">
            <v>56840</v>
          </cell>
        </row>
        <row r="170">
          <cell r="S170">
            <v>5856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2009노임(공사)"/>
      <sheetName val="수량산출서"/>
      <sheetName val="수량집계표"/>
      <sheetName val="일위대가(가설)"/>
      <sheetName val="수량산출"/>
      <sheetName val="단가"/>
      <sheetName val="시설물일위"/>
      <sheetName val="매인"/>
      <sheetName val="터널조도"/>
      <sheetName val="부하계산서"/>
      <sheetName val="데이타"/>
      <sheetName val="식재인부"/>
      <sheetName val="품셈"/>
      <sheetName val="대목"/>
      <sheetName val="2001단가계약(건설공사)"/>
      <sheetName val="표지 (2)"/>
      <sheetName val="b_balju_cho"/>
      <sheetName val="단가비교표"/>
      <sheetName val="Sales Comparison"/>
      <sheetName val="I一般比"/>
      <sheetName val="수목데이타"/>
      <sheetName val="조명율표"/>
      <sheetName val="수로BOX"/>
      <sheetName val="2"/>
      <sheetName val="과세내역(세부)"/>
      <sheetName val="하조서"/>
      <sheetName val="공사개요"/>
      <sheetName val="노임단가"/>
      <sheetName val="단가조사"/>
      <sheetName val="DATA"/>
      <sheetName val="공사설계서"/>
    </sheetNames>
    <sheetDataSet>
      <sheetData sheetId="0" refreshError="1">
        <row r="34">
          <cell r="U34">
            <v>276.44</v>
          </cell>
        </row>
        <row r="39">
          <cell r="U39">
            <v>204000</v>
          </cell>
        </row>
        <row r="51">
          <cell r="AA51">
            <v>63210</v>
          </cell>
        </row>
        <row r="72">
          <cell r="AA72">
            <v>56840</v>
          </cell>
        </row>
        <row r="90">
          <cell r="AA90">
            <v>51490</v>
          </cell>
        </row>
        <row r="91">
          <cell r="AA91">
            <v>37050</v>
          </cell>
        </row>
        <row r="143">
          <cell r="S143">
            <v>900</v>
          </cell>
        </row>
        <row r="144">
          <cell r="S144">
            <v>1372</v>
          </cell>
        </row>
        <row r="145">
          <cell r="S145">
            <v>499.6</v>
          </cell>
        </row>
        <row r="170">
          <cell r="S170">
            <v>5856</v>
          </cell>
        </row>
        <row r="171">
          <cell r="S171">
            <v>264705</v>
          </cell>
        </row>
        <row r="172">
          <cell r="S172">
            <v>450</v>
          </cell>
        </row>
        <row r="173">
          <cell r="S173">
            <v>668</v>
          </cell>
        </row>
        <row r="215">
          <cell r="S215">
            <v>1370</v>
          </cell>
        </row>
      </sheetData>
      <sheetData sheetId="1"/>
      <sheetData sheetId="2" refreshError="1">
        <row r="20">
          <cell r="G20">
            <v>4631</v>
          </cell>
        </row>
        <row r="24">
          <cell r="G24">
            <v>0</v>
          </cell>
        </row>
        <row r="28">
          <cell r="G28">
            <v>0</v>
          </cell>
        </row>
        <row r="95">
          <cell r="G95">
            <v>4659</v>
          </cell>
        </row>
        <row r="99">
          <cell r="G99">
            <v>9868</v>
          </cell>
        </row>
        <row r="103">
          <cell r="G103">
            <v>11928</v>
          </cell>
        </row>
        <row r="155">
          <cell r="G155">
            <v>3763</v>
          </cell>
        </row>
        <row r="159">
          <cell r="G159">
            <v>11060</v>
          </cell>
        </row>
        <row r="163">
          <cell r="G163">
            <v>6759</v>
          </cell>
        </row>
        <row r="215">
          <cell r="G215">
            <v>10938</v>
          </cell>
        </row>
        <row r="219">
          <cell r="G219">
            <v>19113</v>
          </cell>
        </row>
        <row r="223">
          <cell r="G223">
            <v>5605</v>
          </cell>
        </row>
        <row r="245">
          <cell r="G245">
            <v>1228</v>
          </cell>
        </row>
        <row r="249">
          <cell r="G249">
            <v>9868</v>
          </cell>
        </row>
        <row r="253">
          <cell r="G253">
            <v>7035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1"/>
  <sheetViews>
    <sheetView zoomScaleNormal="7" zoomScaleSheetLayoutView="4" workbookViewId="0">
      <selection activeCell="A1" sqref="A1"/>
    </sheetView>
  </sheetViews>
  <sheetFormatPr baseColWidth="8" defaultRowHeight="13.5"/>
  <sheetData/>
  <pageMargins left="0.2" right="0.2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theme="8"/>
    <outlinePr summaryBelow="1" summaryRight="1"/>
    <pageSetUpPr fitToPage="1"/>
  </sheetPr>
  <dimension ref="A3:J28"/>
  <sheetViews>
    <sheetView showGridLines="0" tabSelected="1" zoomScaleNormal="100" zoomScaleSheetLayoutView="145" workbookViewId="0">
      <selection activeCell="A1" sqref="A1"/>
    </sheetView>
  </sheetViews>
  <sheetFormatPr baseColWidth="8" defaultColWidth="0" defaultRowHeight="30" customHeight="1" zeroHeight="1"/>
  <cols>
    <col width="8.21875" customWidth="1" min="1" max="10"/>
    <col hidden="1" width="8.88671875" customWidth="1" min="11" max="16384"/>
  </cols>
  <sheetData>
    <row r="1" ht="30" customHeight="1"/>
    <row r="2" ht="30" customHeight="1"/>
    <row r="3" ht="30" customHeight="1">
      <c r="A3" s="341" t="inlineStr">
        <is>
          <t>견   적   서</t>
        </is>
      </c>
    </row>
    <row r="4" ht="30" customHeight="1"/>
    <row r="5" ht="30" customHeight="1"/>
    <row r="6" ht="30" customHeight="1">
      <c r="A6" s="342" t="inlineStr">
        <is>
          <t>견적명 : 정보통신설비 유지보수관리 업무 위탁</t>
        </is>
      </c>
    </row>
    <row r="7" ht="30" customHeight="1">
      <c r="A7" s="343" t="inlineStr">
        <is>
          <t>[성능점검, 유지보수관리점검, 유지관리자 선임(비상주)]</t>
        </is>
      </c>
    </row>
    <row r="8" ht="30" customHeight="1">
      <c r="A8" s="343" t="n"/>
      <c r="B8" s="343" t="n"/>
      <c r="C8" s="343" t="n"/>
      <c r="D8" s="343" t="n"/>
      <c r="E8" s="343" t="n"/>
      <c r="F8" s="343" t="n"/>
      <c r="G8" s="343" t="n"/>
      <c r="H8" s="343" t="n"/>
      <c r="I8" s="343" t="n"/>
      <c r="J8" s="343" t="n"/>
    </row>
    <row r="9" ht="30" customHeight="1">
      <c r="A9" s="343" t="n"/>
      <c r="B9" s="343" t="n"/>
      <c r="C9" s="343" t="n"/>
      <c r="D9" s="343" t="n"/>
      <c r="E9" s="343" t="n"/>
      <c r="F9" s="343" t="n"/>
      <c r="G9" s="343" t="n"/>
      <c r="H9" s="343" t="n"/>
      <c r="I9" s="343" t="n"/>
      <c r="J9" s="343" t="n"/>
    </row>
    <row r="10" ht="30" customHeight="1">
      <c r="A10" s="345">
        <f>"고객명 : "&amp;'1. 견적서'!E9</f>
        <v/>
      </c>
    </row>
    <row r="11" ht="30" customHeight="1">
      <c r="A11" s="343" t="n"/>
      <c r="B11" s="343" t="n"/>
      <c r="C11" s="343" t="n"/>
      <c r="D11" s="343" t="n"/>
      <c r="E11" s="343" t="n"/>
      <c r="F11" s="343" t="n"/>
      <c r="G11" s="343" t="n"/>
      <c r="H11" s="343" t="n"/>
      <c r="I11" s="343" t="n"/>
      <c r="J11" s="343" t="n"/>
    </row>
    <row r="12" ht="30" customHeight="1">
      <c r="A12" s="343" t="n"/>
      <c r="B12" s="343" t="n"/>
      <c r="C12" s="343" t="n"/>
      <c r="D12" s="343" t="n"/>
      <c r="E12" s="343" t="n"/>
      <c r="F12" s="343" t="n"/>
      <c r="G12" s="343" t="n"/>
      <c r="H12" s="343" t="n"/>
      <c r="I12" s="343" t="n"/>
      <c r="J12" s="343" t="n"/>
    </row>
    <row r="13" ht="30" customHeight="1">
      <c r="A13" s="343" t="n"/>
      <c r="B13" s="343" t="n"/>
      <c r="C13" s="343" t="n"/>
      <c r="D13" s="343" t="n"/>
      <c r="E13" s="343" t="n"/>
      <c r="F13" s="343" t="n"/>
      <c r="G13" s="343" t="n"/>
      <c r="H13" s="343" t="n"/>
      <c r="I13" s="343" t="n"/>
      <c r="J13" s="343" t="n"/>
    </row>
    <row r="14" ht="30" customHeight="1">
      <c r="A14" s="343" t="n"/>
      <c r="B14" s="343" t="n"/>
      <c r="C14" s="343" t="n"/>
      <c r="D14" s="343" t="n"/>
      <c r="E14" s="343" t="n"/>
      <c r="F14" s="343" t="n"/>
      <c r="G14" s="343" t="n"/>
      <c r="H14" s="343" t="n"/>
      <c r="I14" s="343" t="n"/>
      <c r="J14" s="343" t="n"/>
    </row>
    <row r="15" ht="30" customHeight="1">
      <c r="A15" s="343" t="n"/>
      <c r="B15" s="343" t="n"/>
      <c r="C15" s="343" t="n"/>
      <c r="D15" s="343" t="n"/>
      <c r="E15" s="343" t="n"/>
      <c r="F15" s="343" t="n"/>
      <c r="G15" s="343" t="n"/>
      <c r="H15" s="343" t="n"/>
      <c r="I15" s="343" t="n"/>
      <c r="J15" s="343" t="n"/>
    </row>
    <row r="16" ht="30" customHeight="1">
      <c r="A16" s="343" t="n"/>
      <c r="B16" s="343" t="n"/>
      <c r="C16" s="343" t="n"/>
      <c r="D16" s="343" t="n"/>
      <c r="E16" s="343" t="n"/>
      <c r="F16" s="343" t="n"/>
      <c r="G16" s="343" t="n"/>
      <c r="H16" s="343" t="n"/>
      <c r="I16" s="343" t="n"/>
      <c r="J16" s="343" t="n"/>
    </row>
    <row r="17" ht="30" customHeight="1"/>
    <row r="18" ht="30" customHeight="1">
      <c r="A18" s="655">
        <f>TODAY()</f>
        <v/>
      </c>
    </row>
    <row r="19" ht="24" customHeight="1"/>
    <row r="20" ht="30" customHeight="1"/>
    <row r="21" ht="20.1" customHeight="1"/>
    <row r="22" ht="24.95" customHeight="1"/>
    <row r="23" ht="9.949999999999999" customHeight="1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</row>
    <row r="24" ht="17.1" customFormat="1" customHeight="1" s="81">
      <c r="A24" s="198" t="inlineStr">
        <is>
          <t>주식회사 우경정보통신</t>
        </is>
      </c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</row>
    <row r="25" ht="17.1" customFormat="1" customHeight="1" s="81">
      <c r="A25" s="340" t="inlineStr">
        <is>
          <t>[본       사] : 경기도 용인시 기흥구 죽현로 8-22, 301호(보정동, 휴먼타워)</t>
        </is>
      </c>
      <c r="H25" s="196" t="n"/>
      <c r="I25" s="196" t="n"/>
      <c r="J25" s="197" t="inlineStr">
        <is>
          <t>T. 031-8009-0084</t>
        </is>
      </c>
    </row>
    <row r="26" ht="17.1" customFormat="1" customHeight="1" s="81">
      <c r="A26" s="340" t="inlineStr">
        <is>
          <t>[북부 지사] : 경기도 의정부시 오목로 225번길 161, 202호 (마운틴프라자)</t>
        </is>
      </c>
      <c r="H26" s="196" t="n"/>
      <c r="I26" s="196" t="n"/>
      <c r="J26" s="197" t="inlineStr">
        <is>
          <t>FAX. 031-263-1537</t>
        </is>
      </c>
    </row>
    <row r="27" ht="13.5" customFormat="1" customHeight="1" s="81">
      <c r="A27" s="340" t="inlineStr">
        <is>
          <t>[부천 지사] : 경기도 부천시 길주로 125, 303호 (다승프라자)</t>
        </is>
      </c>
      <c r="H27" s="196" t="n"/>
      <c r="I27" s="196" t="n"/>
      <c r="J27" s="197" t="inlineStr">
        <is>
          <t>E-mail. wkict@naver.com</t>
        </is>
      </c>
    </row>
    <row r="28" ht="13.5" customHeight="1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</row>
    <row r="29" hidden="1" ht="13.5" customHeight="1"/>
    <row r="30" hidden="1" ht="13.5" customHeight="1"/>
    <row r="31" hidden="1" ht="13.5" customHeight="1"/>
    <row r="32" hidden="1" ht="13.5" customHeight="1"/>
    <row r="33" hidden="1" ht="13.5" customHeight="1"/>
    <row r="34" hidden="1" ht="13.5" customHeight="1"/>
    <row r="35" hidden="1" ht="34.5" customHeight="1"/>
  </sheetData>
  <mergeCells count="8">
    <mergeCell ref="A27:G27"/>
    <mergeCell ref="A6:J6"/>
    <mergeCell ref="A18:J18"/>
    <mergeCell ref="A26:G26"/>
    <mergeCell ref="A7:J7"/>
    <mergeCell ref="A3:J5"/>
    <mergeCell ref="A25:G25"/>
    <mergeCell ref="A10:J10"/>
  </mergeCells>
  <printOptions horizontalCentered="1"/>
  <pageMargins left="0.2" right="0.2" top="0.7086614173228347" bottom="0.7086614173228347" header="0.3149606299212598" footer="0.3149606299212598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2">
    <tabColor theme="8"/>
    <outlinePr summaryBelow="1" summaryRight="1"/>
    <pageSetUpPr fitToPage="1"/>
  </sheetPr>
  <dimension ref="A1:AB36"/>
  <sheetViews>
    <sheetView showGridLines="0" showZeros="0" zoomScale="70" zoomScaleNormal="70" zoomScaleSheetLayoutView="85" zoomScalePageLayoutView="55" workbookViewId="0">
      <selection activeCell="A1" sqref="A1"/>
    </sheetView>
  </sheetViews>
  <sheetFormatPr baseColWidth="8" defaultColWidth="0" defaultRowHeight="13.5" zeroHeight="1"/>
  <cols>
    <col width="2.77734375" customWidth="1" style="4" min="1" max="1"/>
    <col width="0.88671875" customWidth="1" style="4" min="2" max="2"/>
    <col width="5.77734375" customWidth="1" style="4" min="3" max="3"/>
    <col width="5.6640625" customWidth="1" style="4" min="4" max="5"/>
    <col width="5.44140625" customWidth="1" style="4" min="6" max="6"/>
    <col width="4.77734375" customWidth="1" style="4" min="7" max="17"/>
    <col width="5.88671875" customWidth="1" style="4" min="18" max="19"/>
    <col width="4.77734375" customWidth="1" style="4" min="20" max="23"/>
    <col width="5.88671875" customWidth="1" style="4" min="24" max="25"/>
    <col width="8.5546875" customWidth="1" style="4" min="26" max="26"/>
    <col width="2.77734375" customWidth="1" style="4" min="27" max="28"/>
    <col hidden="1" width="8.88671875" customWidth="1" style="4" min="29" max="36"/>
    <col hidden="1" style="4" min="37" max="38"/>
    <col hidden="1" width="8.88671875" customWidth="1" style="4" min="39" max="16384"/>
  </cols>
  <sheetData>
    <row r="1" ht="30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3" t="n"/>
    </row>
    <row r="2" ht="48.75" customFormat="1" customHeight="1" s="6">
      <c r="A2" s="422" t="inlineStr">
        <is>
          <t>견      적      서</t>
        </is>
      </c>
      <c r="AB2" s="5" t="n"/>
    </row>
    <row r="3" ht="39.75" customFormat="1" customHeight="1" s="6">
      <c r="A3" s="656" t="inlineStr">
        <is>
          <t>(정보통신설비성능점검/정보통신설비유지관리자위탁선임/기계설비성능점검업/기계설비 유지관리 점검대행
 소방안전관리 업무대행업/종합정밀, 작동기능점검전문/소방시설공사 외/전기안전관리대행/전기 직무고시/긴급전기사고 복구공사)</t>
        </is>
      </c>
      <c r="AB3" s="657" t="n"/>
    </row>
    <row r="4" ht="30" customFormat="1" customHeight="1" s="6">
      <c r="A4" s="7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424" t="n"/>
      <c r="AB4" s="9" t="n"/>
    </row>
    <row r="5" ht="39.75" customFormat="1" customHeight="1" s="6">
      <c r="A5" s="7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424" t="n"/>
      <c r="T5" s="424" t="n"/>
      <c r="U5" s="424" t="n"/>
      <c r="V5" s="424" t="n"/>
      <c r="W5" s="424" t="n"/>
      <c r="X5" s="424" t="n"/>
      <c r="Y5" s="424" t="n"/>
      <c r="Z5" s="424" t="n"/>
      <c r="AA5" s="424" t="n"/>
      <c r="AB5" s="9" t="n"/>
    </row>
    <row r="6" ht="20.1" customFormat="1" customHeight="1" s="6">
      <c r="A6" s="10" t="n"/>
      <c r="C6" s="233" t="n"/>
      <c r="D6" s="233" t="n"/>
      <c r="E6" s="233" t="n"/>
      <c r="F6" s="233" t="n"/>
      <c r="G6" s="233" t="n"/>
      <c r="H6" s="233" t="n"/>
      <c r="I6" s="233" t="n"/>
      <c r="J6" s="233" t="n"/>
      <c r="K6" s="233" t="n"/>
      <c r="L6" s="233" t="n"/>
      <c r="M6" s="234" t="n"/>
      <c r="N6" s="234" t="n"/>
      <c r="O6" s="234" t="n"/>
      <c r="P6" s="234" t="n"/>
      <c r="Q6" s="234" t="n"/>
      <c r="R6" s="234" t="n"/>
      <c r="S6" s="234" t="n"/>
      <c r="T6" s="234" t="n"/>
      <c r="U6" s="234" t="n"/>
      <c r="V6" s="234" t="n"/>
      <c r="W6" s="234" t="n"/>
      <c r="X6" s="234" t="n"/>
      <c r="Y6" s="234" t="n"/>
      <c r="Z6" s="234" t="n"/>
      <c r="AA6" s="233" t="n"/>
      <c r="AB6" s="5" t="n"/>
    </row>
    <row r="7" ht="20.1" customFormat="1" customHeight="1" s="6" thickBot="1">
      <c r="A7" s="10" t="n"/>
      <c r="C7" s="233" t="n"/>
      <c r="D7" s="233" t="n"/>
      <c r="E7" s="233" t="n"/>
      <c r="F7" s="233" t="n"/>
      <c r="G7" s="233" t="n"/>
      <c r="H7" s="233" t="n"/>
      <c r="I7" s="233" t="n"/>
      <c r="J7" s="233" t="n"/>
      <c r="K7" s="233" t="n"/>
      <c r="L7" s="233" t="n"/>
      <c r="M7" s="234" t="n"/>
      <c r="N7" s="234" t="n"/>
      <c r="O7" s="234" t="n"/>
      <c r="P7" s="234" t="n"/>
      <c r="Q7" s="234" t="n"/>
      <c r="R7" s="234" t="n"/>
      <c r="S7" s="234" t="n"/>
      <c r="T7" s="234" t="n"/>
      <c r="U7" s="234" t="n"/>
      <c r="V7" s="234" t="n"/>
      <c r="W7" s="234" t="n"/>
      <c r="X7" s="234" t="n"/>
      <c r="Y7" s="234" t="n"/>
      <c r="Z7" s="234" t="n"/>
      <c r="AA7" s="233" t="n"/>
      <c r="AB7" s="5" t="n"/>
    </row>
    <row r="8" ht="32.25" customFormat="1" customHeight="1" s="6">
      <c r="A8" s="10" t="n"/>
      <c r="C8" s="220" t="inlineStr">
        <is>
          <t xml:space="preserve">일  자 : </t>
        </is>
      </c>
      <c r="D8" s="220" t="n"/>
      <c r="E8" s="658">
        <f>TODAY()</f>
        <v/>
      </c>
      <c r="L8" s="659" t="n"/>
      <c r="M8" s="660" t="inlineStr">
        <is>
          <t>공
급
자</t>
        </is>
      </c>
      <c r="N8" s="661" t="inlineStr">
        <is>
          <t>사업자번호</t>
        </is>
      </c>
      <c r="O8" s="662" t="n"/>
      <c r="P8" s="663" t="n"/>
      <c r="Q8" s="664" t="inlineStr">
        <is>
          <t>615-87-03488</t>
        </is>
      </c>
      <c r="R8" s="662" t="n"/>
      <c r="S8" s="662" t="n"/>
      <c r="T8" s="662" t="n"/>
      <c r="U8" s="662" t="n"/>
      <c r="V8" s="662" t="n"/>
      <c r="W8" s="662" t="n"/>
      <c r="X8" s="662" t="n"/>
      <c r="Y8" s="662" t="n"/>
      <c r="Z8" s="662" t="n"/>
      <c r="AA8" s="665" t="n"/>
      <c r="AB8" s="5" t="n"/>
    </row>
    <row r="9" ht="32.1" customFormat="1" customHeight="1" s="6">
      <c r="A9" s="11" t="n"/>
      <c r="B9" s="221" t="n"/>
      <c r="C9" s="220" t="inlineStr">
        <is>
          <t xml:space="preserve">고객명 : </t>
        </is>
      </c>
      <c r="D9" s="220" t="n"/>
      <c r="E9" s="23" t="n"/>
      <c r="F9" s="220" t="n"/>
      <c r="G9" s="220" t="n"/>
      <c r="H9" s="220" t="n"/>
      <c r="I9" s="220" t="n"/>
      <c r="J9" s="220" t="n"/>
      <c r="K9" s="220" t="n"/>
      <c r="L9" s="149" t="n"/>
      <c r="M9" s="666" t="n"/>
      <c r="N9" s="667" t="inlineStr">
        <is>
          <t>상     호</t>
        </is>
      </c>
      <c r="O9" s="668" t="n"/>
      <c r="P9" s="669" t="n"/>
      <c r="Q9" s="670" t="inlineStr">
        <is>
          <t>㈜우경정보통신</t>
        </is>
      </c>
      <c r="R9" s="668" t="n"/>
      <c r="S9" s="668" t="n"/>
      <c r="T9" s="669" t="n"/>
      <c r="U9" s="667" t="inlineStr">
        <is>
          <t>대   표</t>
        </is>
      </c>
      <c r="V9" s="668" t="n"/>
      <c r="W9" s="669" t="n"/>
      <c r="X9" s="671" t="inlineStr">
        <is>
          <t>박진철</t>
        </is>
      </c>
      <c r="Y9" s="668" t="n"/>
      <c r="Z9" s="668" t="n"/>
      <c r="AA9" s="672" t="n"/>
      <c r="AB9" s="5" t="n"/>
    </row>
    <row r="10" ht="32.1" customFormat="1" customHeight="1" s="6">
      <c r="A10" s="11" t="n"/>
      <c r="B10" s="221" t="n"/>
      <c r="C10" s="220" t="inlineStr">
        <is>
          <t xml:space="preserve">견적명 : </t>
        </is>
      </c>
      <c r="D10" s="220" t="n"/>
      <c r="E10" s="438" t="inlineStr">
        <is>
          <t>정보통신 유지보수관리 업무 위탁</t>
        </is>
      </c>
      <c r="L10" s="659" t="n"/>
      <c r="M10" s="666" t="n"/>
      <c r="N10" s="667" t="inlineStr">
        <is>
          <t>소 재 지</t>
        </is>
      </c>
      <c r="O10" s="668" t="n"/>
      <c r="P10" s="669" t="n"/>
      <c r="Q10" s="673" t="inlineStr">
        <is>
          <t>경기도 용인시 기흥구 죽현로8-22 휴먼타워301호</t>
        </is>
      </c>
      <c r="R10" s="668" t="n"/>
      <c r="S10" s="668" t="n"/>
      <c r="T10" s="668" t="n"/>
      <c r="U10" s="668" t="n"/>
      <c r="V10" s="668" t="n"/>
      <c r="W10" s="668" t="n"/>
      <c r="X10" s="668" t="n"/>
      <c r="Y10" s="668" t="n"/>
      <c r="Z10" s="668" t="n"/>
      <c r="AA10" s="672" t="n"/>
      <c r="AB10" s="5" t="n"/>
    </row>
    <row r="11" ht="32.1" customFormat="1" customHeight="1" s="6">
      <c r="A11" s="11" t="n"/>
      <c r="B11" s="221" t="n"/>
      <c r="C11" s="220" t="inlineStr">
        <is>
          <t xml:space="preserve">견적유효기간 : </t>
        </is>
      </c>
      <c r="D11" s="222" t="n"/>
      <c r="E11" s="220" t="n"/>
      <c r="F11" s="406" t="inlineStr">
        <is>
          <t>60일</t>
        </is>
      </c>
      <c r="L11" s="659" t="n"/>
      <c r="M11" s="666" t="n"/>
      <c r="N11" s="667" t="inlineStr">
        <is>
          <t>업    태</t>
        </is>
      </c>
      <c r="O11" s="668" t="n"/>
      <c r="P11" s="669" t="n"/>
      <c r="Q11" s="670" t="inlineStr">
        <is>
          <t>서비스업</t>
        </is>
      </c>
      <c r="R11" s="668" t="n"/>
      <c r="S11" s="668" t="n"/>
      <c r="T11" s="669" t="n"/>
      <c r="U11" s="667" t="inlineStr">
        <is>
          <t>종  목</t>
        </is>
      </c>
      <c r="V11" s="668" t="n"/>
      <c r="W11" s="669" t="n"/>
      <c r="X11" s="674" t="inlineStr">
        <is>
          <t>정보통신설비 성능점검 외</t>
        </is>
      </c>
      <c r="Y11" s="668" t="n"/>
      <c r="Z11" s="668" t="n"/>
      <c r="AA11" s="672" t="n"/>
      <c r="AB11" s="5" t="n"/>
    </row>
    <row r="12" ht="32.1" customFormat="1" customHeight="1" s="6" thickBot="1">
      <c r="A12" s="11" t="inlineStr">
        <is>
          <t xml:space="preserve"> </t>
        </is>
      </c>
      <c r="B12" s="221" t="n"/>
      <c r="C12" s="443" t="inlineStr">
        <is>
          <t>아래와 같이 견적합니다.</t>
        </is>
      </c>
      <c r="L12" s="659" t="n"/>
      <c r="M12" s="675" t="n"/>
      <c r="N12" s="676" t="inlineStr">
        <is>
          <t>담 당 자</t>
        </is>
      </c>
      <c r="O12" s="677" t="n"/>
      <c r="P12" s="678" t="n"/>
      <c r="Q12" s="679" t="n"/>
      <c r="R12" s="677" t="n"/>
      <c r="S12" s="677" t="n"/>
      <c r="T12" s="678" t="n"/>
      <c r="U12" s="676" t="inlineStr">
        <is>
          <t>전화번호</t>
        </is>
      </c>
      <c r="V12" s="677" t="n"/>
      <c r="W12" s="678" t="n"/>
      <c r="X12" s="680" t="n"/>
      <c r="Y12" s="677" t="n"/>
      <c r="Z12" s="677" t="n"/>
      <c r="AA12" s="681" t="n"/>
      <c r="AB12" s="5" t="n"/>
    </row>
    <row r="13" ht="20.1" customFormat="1" customHeight="1" s="6">
      <c r="A13" s="11" t="inlineStr">
        <is>
          <t xml:space="preserve"> </t>
        </is>
      </c>
      <c r="B13" s="221" t="n"/>
      <c r="C13" s="224" t="n"/>
      <c r="D13" s="222" t="n"/>
      <c r="E13" s="222" t="n"/>
      <c r="F13" s="421" t="n"/>
      <c r="K13" s="225" t="n"/>
      <c r="L13" s="225" t="n"/>
      <c r="M13" s="12" t="n"/>
      <c r="N13" s="409" t="n"/>
      <c r="O13" s="682" t="n"/>
      <c r="P13" s="682" t="n"/>
      <c r="Q13" s="414" t="n"/>
      <c r="R13" s="682" t="n"/>
      <c r="S13" s="682" t="n"/>
      <c r="T13" s="682" t="n"/>
      <c r="U13" s="409" t="n"/>
      <c r="V13" s="682" t="n"/>
      <c r="W13" s="682" t="n"/>
      <c r="X13" s="414" t="n"/>
      <c r="Y13" s="682" t="n"/>
      <c r="Z13" s="682" t="n"/>
      <c r="AA13" s="682" t="n"/>
      <c r="AB13" s="5" t="n"/>
    </row>
    <row r="14" ht="35.1" customFormat="1" customHeight="1" s="6">
      <c r="A14" s="10" t="n"/>
      <c r="B14" s="226" t="n"/>
      <c r="C14" s="13" t="n"/>
      <c r="D14" s="354" t="inlineStr">
        <is>
          <t>1.  대    상    물</t>
        </is>
      </c>
      <c r="E14" s="683" t="n"/>
      <c r="F14" s="683" t="n"/>
      <c r="G14" s="683" t="n"/>
      <c r="H14" s="684" t="n"/>
      <c r="I14" s="14" t="n"/>
      <c r="J14" s="69">
        <f>E9</f>
        <v/>
      </c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70" t="n"/>
      <c r="AB14" s="15" t="n"/>
    </row>
    <row r="15" ht="35.1" customFormat="1" customHeight="1" s="17">
      <c r="A15" s="16" t="n"/>
      <c r="B15" s="227" t="n"/>
      <c r="C15" s="13" t="n"/>
      <c r="D15" s="354" t="inlineStr">
        <is>
          <t>2.  주          소</t>
        </is>
      </c>
      <c r="E15" s="683" t="n"/>
      <c r="F15" s="683" t="n"/>
      <c r="G15" s="683" t="n"/>
      <c r="H15" s="684" t="n"/>
      <c r="I15" s="14" t="n"/>
      <c r="J15" s="68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67" t="n"/>
      <c r="AB15" s="15" t="n"/>
    </row>
    <row r="16" ht="35.1" customFormat="1" customHeight="1" s="17">
      <c r="A16" s="16" t="n"/>
      <c r="B16" s="227" t="n"/>
      <c r="C16" s="13" t="n"/>
      <c r="D16" s="354" t="inlineStr">
        <is>
          <t>3.  사 용 승 인 일</t>
        </is>
      </c>
      <c r="E16" s="683" t="n"/>
      <c r="F16" s="683" t="n"/>
      <c r="G16" s="683" t="n"/>
      <c r="H16" s="684" t="n"/>
      <c r="I16" s="14" t="n"/>
      <c r="J16" s="408" t="n"/>
      <c r="K16" s="683" t="n"/>
      <c r="L16" s="683" t="n"/>
      <c r="M16" s="683" t="n"/>
      <c r="N16" s="683" t="n"/>
      <c r="O16" s="683" t="n"/>
      <c r="P16" s="683" t="n"/>
      <c r="Q16" s="683" t="n"/>
      <c r="R16" s="683" t="n"/>
      <c r="S16" s="683" t="n"/>
      <c r="T16" s="683" t="n"/>
      <c r="U16" s="683" t="n"/>
      <c r="V16" s="683" t="n"/>
      <c r="W16" s="683" t="n"/>
      <c r="X16" s="683" t="n"/>
      <c r="Y16" s="683" t="n"/>
      <c r="Z16" s="683" t="n"/>
      <c r="AA16" s="684" t="n"/>
      <c r="AB16" s="15" t="n"/>
    </row>
    <row r="17" ht="39.95" customFormat="1" customHeight="1" s="17">
      <c r="A17" s="16" t="n"/>
      <c r="B17" s="227" t="n"/>
      <c r="C17" s="13" t="n"/>
      <c r="D17" s="354" t="inlineStr">
        <is>
          <t>4.  건  물  개  요</t>
        </is>
      </c>
      <c r="E17" s="683" t="n"/>
      <c r="F17" s="683" t="n"/>
      <c r="G17" s="683" t="n"/>
      <c r="H17" s="684" t="n"/>
      <c r="I17" s="14" t="n"/>
      <c r="J17" s="359" t="n"/>
      <c r="K17" s="683" t="n"/>
      <c r="L17" s="683" t="n"/>
      <c r="M17" s="683" t="n"/>
      <c r="N17" s="683" t="n"/>
      <c r="O17" s="683" t="n"/>
      <c r="P17" s="683" t="n"/>
      <c r="Q17" s="684" t="n"/>
      <c r="R17" s="685" t="inlineStr">
        <is>
          <t>연면적</t>
        </is>
      </c>
      <c r="S17" s="683" t="n"/>
      <c r="T17" s="683" t="n"/>
      <c r="U17" s="683" t="n"/>
      <c r="V17" s="684" t="n"/>
      <c r="W17" s="686" t="n"/>
      <c r="X17" s="683" t="n"/>
      <c r="Y17" s="683" t="n"/>
      <c r="Z17" s="687" t="inlineStr">
        <is>
          <t>㎡</t>
        </is>
      </c>
      <c r="AA17" s="688" t="n"/>
      <c r="AB17" s="15" t="n"/>
    </row>
    <row r="18" ht="35.1" customFormat="1" customHeight="1" s="6">
      <c r="A18" s="10" t="n"/>
      <c r="B18" s="226" t="n"/>
      <c r="C18" s="18" t="n"/>
      <c r="D18" s="346" t="inlineStr">
        <is>
          <t>5.  담    당    자</t>
        </is>
      </c>
      <c r="E18" s="689" t="n"/>
      <c r="F18" s="689" t="n"/>
      <c r="G18" s="689" t="n"/>
      <c r="H18" s="690" t="n"/>
      <c r="I18" s="19" t="n"/>
      <c r="J18" s="359" t="n"/>
      <c r="K18" s="683" t="n"/>
      <c r="L18" s="683" t="n"/>
      <c r="M18" s="683" t="n"/>
      <c r="N18" s="683" t="n"/>
      <c r="O18" s="683" t="n"/>
      <c r="P18" s="683" t="n"/>
      <c r="Q18" s="684" t="n"/>
      <c r="R18" s="685" t="inlineStr">
        <is>
          <t>연락처</t>
        </is>
      </c>
      <c r="S18" s="683" t="n"/>
      <c r="T18" s="683" t="n"/>
      <c r="U18" s="683" t="n"/>
      <c r="V18" s="684" t="n"/>
      <c r="W18" s="691" t="n"/>
      <c r="X18" s="683" t="n"/>
      <c r="Y18" s="683" t="n"/>
      <c r="Z18" s="683" t="n"/>
      <c r="AA18" s="684" t="n"/>
      <c r="AB18" s="15" t="n"/>
    </row>
    <row r="19" ht="24" customFormat="1" customHeight="1" s="6">
      <c r="A19" s="10" t="n"/>
      <c r="B19" s="226" t="n"/>
      <c r="C19" s="13" t="n"/>
      <c r="D19" s="354" t="inlineStr">
        <is>
          <t>6.  점  검  항  목</t>
        </is>
      </c>
      <c r="E19" s="683" t="n"/>
      <c r="F19" s="683" t="n"/>
      <c r="G19" s="683" t="n"/>
      <c r="H19" s="684" t="n"/>
      <c r="I19" s="14" t="n"/>
      <c r="J19" s="357" t="inlineStr">
        <is>
          <t>성능점검 1회, 유지보수관리점검 2회, 유지관리자 위탁 선임(비상주) 1년</t>
        </is>
      </c>
      <c r="K19" s="683" t="n"/>
      <c r="L19" s="683" t="n"/>
      <c r="M19" s="683" t="n"/>
      <c r="N19" s="683" t="n"/>
      <c r="O19" s="683" t="n"/>
      <c r="P19" s="683" t="n"/>
      <c r="Q19" s="683" t="n"/>
      <c r="R19" s="683" t="n"/>
      <c r="S19" s="683" t="n"/>
      <c r="T19" s="683" t="n"/>
      <c r="U19" s="683" t="n"/>
      <c r="V19" s="683" t="n"/>
      <c r="W19" s="683" t="n"/>
      <c r="X19" s="683" t="n"/>
      <c r="Y19" s="683" t="n"/>
      <c r="Z19" s="683" t="n"/>
      <c r="AA19" s="684" t="n"/>
      <c r="AB19" s="15" t="n"/>
    </row>
    <row r="20" ht="20.1" customFormat="1" customHeight="1" s="6">
      <c r="A20" s="10" t="n"/>
      <c r="C20" s="228" t="n"/>
      <c r="D20" s="228" t="n"/>
      <c r="E20" s="228" t="n"/>
      <c r="F20" s="228" t="n"/>
      <c r="G20" s="228" t="n"/>
      <c r="H20" s="228" t="n"/>
      <c r="I20" s="228" t="n"/>
      <c r="J20" s="228" t="n"/>
      <c r="K20" s="228" t="n"/>
      <c r="L20" s="228" t="n"/>
      <c r="M20" s="228" t="n"/>
      <c r="N20" s="228" t="n"/>
      <c r="O20" s="228" t="n"/>
      <c r="P20" s="228" t="n"/>
      <c r="Q20" s="228" t="n"/>
      <c r="R20" s="228" t="n"/>
      <c r="S20" s="228" t="n"/>
      <c r="T20" s="228" t="n"/>
      <c r="U20" s="228" t="n"/>
      <c r="V20" s="228" t="n"/>
      <c r="W20" s="228" t="n"/>
      <c r="X20" s="228" t="n"/>
      <c r="Y20" s="228" t="n"/>
      <c r="Z20" s="228" t="n"/>
      <c r="AA20" s="228" t="n"/>
      <c r="AB20" s="15" t="n"/>
    </row>
    <row r="21" ht="47.1" customFormat="1" customHeight="1" s="23">
      <c r="A21" s="20" t="n"/>
      <c r="B21" s="21" t="n"/>
      <c r="C21" s="692" t="inlineStr">
        <is>
          <t>합계금액 (부가세별도)</t>
        </is>
      </c>
      <c r="D21" s="693" t="n"/>
      <c r="E21" s="693" t="n"/>
      <c r="F21" s="693" t="n"/>
      <c r="G21" s="693" t="n"/>
      <c r="H21" s="693" t="n"/>
      <c r="I21" s="693" t="n"/>
      <c r="J21" s="693" t="n"/>
      <c r="K21" s="694" t="n"/>
      <c r="L21" s="351" t="inlineStr">
        <is>
          <t>일금</t>
        </is>
      </c>
      <c r="M21" s="693" t="n"/>
      <c r="N21" s="693" t="n"/>
      <c r="O21" s="695">
        <f>V21</f>
        <v/>
      </c>
      <c r="P21" s="693" t="n"/>
      <c r="Q21" s="693" t="n"/>
      <c r="R21" s="693" t="n"/>
      <c r="S21" s="693" t="n"/>
      <c r="T21" s="696" t="inlineStr">
        <is>
          <t>원정</t>
        </is>
      </c>
      <c r="U21" s="696" t="inlineStr">
        <is>
          <t>(</t>
        </is>
      </c>
      <c r="V21" s="697">
        <f>T27</f>
        <v/>
      </c>
      <c r="W21" s="693" t="n"/>
      <c r="X21" s="693" t="n"/>
      <c r="Y21" s="693" t="n"/>
      <c r="Z21" s="693" t="n"/>
      <c r="AA21" s="698" t="inlineStr">
        <is>
          <t>)</t>
        </is>
      </c>
      <c r="AB21" s="22" t="n"/>
    </row>
    <row r="22" ht="35.1" customFormat="1" customHeight="1" s="6">
      <c r="A22" s="10" t="n"/>
      <c r="B22" s="24" t="n"/>
      <c r="C22" s="442" t="inlineStr">
        <is>
          <t>No.</t>
        </is>
      </c>
      <c r="D22" s="699" t="inlineStr">
        <is>
          <t>구  분</t>
        </is>
      </c>
      <c r="E22" s="693" t="n"/>
      <c r="F22" s="693" t="n"/>
      <c r="G22" s="693" t="n"/>
      <c r="H22" s="693" t="n"/>
      <c r="I22" s="693" t="n"/>
      <c r="J22" s="693" t="n"/>
      <c r="K22" s="694" t="n"/>
      <c r="L22" s="699" t="inlineStr">
        <is>
          <t>단   위</t>
        </is>
      </c>
      <c r="M22" s="693" t="n"/>
      <c r="N22" s="693" t="n"/>
      <c r="O22" s="694" t="n"/>
      <c r="P22" s="699" t="inlineStr">
        <is>
          <t>수   량</t>
        </is>
      </c>
      <c r="Q22" s="693" t="n"/>
      <c r="R22" s="693" t="n"/>
      <c r="S22" s="694" t="n"/>
      <c r="T22" s="699" t="inlineStr">
        <is>
          <t>금   액</t>
        </is>
      </c>
      <c r="U22" s="693" t="n"/>
      <c r="V22" s="693" t="n"/>
      <c r="W22" s="693" t="n"/>
      <c r="X22" s="694" t="n"/>
      <c r="Y22" s="699" t="inlineStr">
        <is>
          <t>비 고</t>
        </is>
      </c>
      <c r="Z22" s="693" t="n"/>
      <c r="AA22" s="694" t="n"/>
      <c r="AB22" s="5" t="n"/>
    </row>
    <row r="23" ht="35.1" customFormat="1" customHeight="1" s="6">
      <c r="A23" s="10" t="n"/>
      <c r="B23" s="24" t="n"/>
      <c r="C23" s="376" t="n">
        <v>1</v>
      </c>
      <c r="D23" s="700" t="inlineStr">
        <is>
          <t>정보통신설비 성능점검[년 1회]</t>
        </is>
      </c>
      <c r="E23" s="693" t="n"/>
      <c r="F23" s="693" t="n"/>
      <c r="G23" s="693" t="n"/>
      <c r="H23" s="693" t="n"/>
      <c r="I23" s="693" t="n"/>
      <c r="J23" s="693" t="n"/>
      <c r="K23" s="694" t="n"/>
      <c r="L23" s="699" t="inlineStr">
        <is>
          <t>식</t>
        </is>
      </c>
      <c r="M23" s="693" t="n"/>
      <c r="N23" s="693" t="n"/>
      <c r="O23" s="694" t="n"/>
      <c r="P23" s="701" t="n">
        <v>1</v>
      </c>
      <c r="Q23" s="693" t="n"/>
      <c r="R23" s="693" t="n"/>
      <c r="S23" s="694" t="n"/>
      <c r="T23" s="702" t="n"/>
      <c r="U23" s="693" t="n"/>
      <c r="V23" s="693" t="n"/>
      <c r="W23" s="693" t="n"/>
      <c r="X23" s="694" t="n"/>
      <c r="Y23" s="703" t="inlineStr">
        <is>
          <t>1회</t>
        </is>
      </c>
      <c r="Z23" s="693" t="n"/>
      <c r="AA23" s="694" t="n"/>
      <c r="AB23" s="5" t="n"/>
    </row>
    <row r="24" ht="35.1" customFormat="1" customHeight="1" s="6">
      <c r="A24" s="10" t="n"/>
      <c r="B24" s="24" t="n"/>
      <c r="C24" s="64" t="n">
        <v>2</v>
      </c>
      <c r="D24" s="700" t="inlineStr">
        <is>
          <t>정보통신설비 유지점검[년 2회]</t>
        </is>
      </c>
      <c r="E24" s="693" t="n"/>
      <c r="F24" s="693" t="n"/>
      <c r="G24" s="693" t="n"/>
      <c r="H24" s="693" t="n"/>
      <c r="I24" s="693" t="n"/>
      <c r="J24" s="693" t="n"/>
      <c r="K24" s="694" t="n"/>
      <c r="L24" s="699" t="inlineStr">
        <is>
          <t>식</t>
        </is>
      </c>
      <c r="M24" s="693" t="n"/>
      <c r="N24" s="693" t="n"/>
      <c r="O24" s="694" t="n"/>
      <c r="P24" s="701" t="n">
        <v>1</v>
      </c>
      <c r="Q24" s="693" t="n"/>
      <c r="R24" s="693" t="n"/>
      <c r="S24" s="694" t="n"/>
      <c r="T24" s="702" t="n"/>
      <c r="U24" s="693" t="n"/>
      <c r="V24" s="693" t="n"/>
      <c r="W24" s="693" t="n"/>
      <c r="X24" s="694" t="n"/>
      <c r="Y24" s="703" t="inlineStr">
        <is>
          <t>2회</t>
        </is>
      </c>
      <c r="Z24" s="693" t="n"/>
      <c r="AA24" s="694" t="n"/>
      <c r="AB24" s="5" t="n"/>
    </row>
    <row r="25" ht="35.1" customFormat="1" customHeight="1" s="6">
      <c r="A25" s="10" t="n"/>
      <c r="B25" s="24" t="n"/>
      <c r="C25" s="64" t="n">
        <v>3</v>
      </c>
      <c r="D25" s="700" t="inlineStr">
        <is>
          <t>유지관리자 비상주 위탁선임[12개월]</t>
        </is>
      </c>
      <c r="E25" s="693" t="n"/>
      <c r="F25" s="693" t="n"/>
      <c r="G25" s="693" t="n"/>
      <c r="H25" s="693" t="n"/>
      <c r="I25" s="693" t="n"/>
      <c r="J25" s="693" t="n"/>
      <c r="K25" s="694" t="n"/>
      <c r="L25" s="699" t="inlineStr">
        <is>
          <t>식</t>
        </is>
      </c>
      <c r="M25" s="693" t="n"/>
      <c r="N25" s="693" t="n"/>
      <c r="O25" s="694" t="n"/>
      <c r="P25" s="701" t="n">
        <v>1</v>
      </c>
      <c r="Q25" s="693" t="n"/>
      <c r="R25" s="693" t="n"/>
      <c r="S25" s="694" t="n"/>
      <c r="T25" s="702" t="n"/>
      <c r="U25" s="693" t="n"/>
      <c r="V25" s="693" t="n"/>
      <c r="W25" s="693" t="n"/>
      <c r="X25" s="694" t="n"/>
      <c r="Y25" s="703" t="n"/>
      <c r="Z25" s="693" t="n"/>
      <c r="AA25" s="694" t="n"/>
      <c r="AB25" s="5" t="n"/>
    </row>
    <row r="26" ht="35.1" customFormat="1" customHeight="1" s="28">
      <c r="A26" s="25" t="n"/>
      <c r="B26" s="26" t="n"/>
      <c r="C26" s="456" t="inlineStr">
        <is>
          <t>합 계</t>
        </is>
      </c>
      <c r="D26" s="693" t="n"/>
      <c r="E26" s="693" t="n"/>
      <c r="F26" s="693" t="n"/>
      <c r="G26" s="693" t="n"/>
      <c r="H26" s="693" t="n"/>
      <c r="I26" s="693" t="n"/>
      <c r="J26" s="693" t="n"/>
      <c r="K26" s="694" t="n"/>
      <c r="L26" s="704" t="n"/>
      <c r="M26" s="693" t="n"/>
      <c r="N26" s="693" t="n"/>
      <c r="O26" s="694" t="n"/>
      <c r="P26" s="705" t="n"/>
      <c r="Q26" s="693" t="n"/>
      <c r="R26" s="693" t="n"/>
      <c r="S26" s="694" t="n"/>
      <c r="T26" s="706" t="n"/>
      <c r="U26" s="693" t="n"/>
      <c r="V26" s="693" t="n"/>
      <c r="W26" s="693" t="n"/>
      <c r="X26" s="694" t="n"/>
      <c r="Y26" s="703" t="n"/>
      <c r="Z26" s="693" t="n"/>
      <c r="AA26" s="694" t="n"/>
      <c r="AB26" s="27" t="n"/>
    </row>
    <row r="27" ht="39.75" customFormat="1" customHeight="1" s="28">
      <c r="A27" s="25" t="n"/>
      <c r="B27" s="26" t="n"/>
      <c r="C27" s="707" t="inlineStr">
        <is>
          <t>최종 견적금액 [년]</t>
        </is>
      </c>
      <c r="D27" s="693" t="n"/>
      <c r="E27" s="693" t="n"/>
      <c r="F27" s="693" t="n"/>
      <c r="G27" s="693" t="n"/>
      <c r="H27" s="693" t="n"/>
      <c r="I27" s="693" t="n"/>
      <c r="J27" s="693" t="n"/>
      <c r="K27" s="693" t="n"/>
      <c r="L27" s="693" t="n"/>
      <c r="M27" s="693" t="n"/>
      <c r="N27" s="693" t="n"/>
      <c r="O27" s="693" t="n"/>
      <c r="P27" s="693" t="n"/>
      <c r="Q27" s="693" t="n"/>
      <c r="R27" s="693" t="n"/>
      <c r="S27" s="694" t="n"/>
      <c r="T27" s="708" t="n"/>
      <c r="U27" s="693" t="n"/>
      <c r="V27" s="693" t="n"/>
      <c r="W27" s="693" t="n"/>
      <c r="X27" s="694" t="n"/>
      <c r="Y27" s="709" t="inlineStr">
        <is>
          <t>결제 방식은
협의 가능</t>
        </is>
      </c>
      <c r="Z27" s="710" t="n"/>
      <c r="AA27" s="711" t="n"/>
      <c r="AB27" s="27" t="n"/>
    </row>
    <row r="28" ht="39.75" customFormat="1" customHeight="1" s="28">
      <c r="A28" s="25" t="n"/>
      <c r="B28" s="26" t="n"/>
      <c r="C28" s="707" t="inlineStr">
        <is>
          <t>월 견적금액 [12개월 분할 결재 시]</t>
        </is>
      </c>
      <c r="D28" s="693" t="n"/>
      <c r="E28" s="693" t="n"/>
      <c r="F28" s="693" t="n"/>
      <c r="G28" s="693" t="n"/>
      <c r="H28" s="693" t="n"/>
      <c r="I28" s="693" t="n"/>
      <c r="J28" s="693" t="n"/>
      <c r="K28" s="693" t="n"/>
      <c r="L28" s="693" t="n"/>
      <c r="M28" s="693" t="n"/>
      <c r="N28" s="693" t="n"/>
      <c r="O28" s="693" t="n"/>
      <c r="P28" s="693" t="n"/>
      <c r="Q28" s="693" t="n"/>
      <c r="R28" s="693" t="n"/>
      <c r="S28" s="694" t="n"/>
      <c r="T28" s="708" t="n"/>
      <c r="U28" s="693" t="n"/>
      <c r="V28" s="693" t="n"/>
      <c r="W28" s="693" t="n"/>
      <c r="X28" s="694" t="n"/>
      <c r="Y28" s="712" t="n"/>
      <c r="Z28" s="713" t="n"/>
      <c r="AA28" s="714" t="n"/>
      <c r="AB28" s="27" t="n"/>
    </row>
    <row r="29" ht="24" customFormat="1" customHeight="1" s="6">
      <c r="A29" s="10" t="n"/>
      <c r="C29" s="450" t="n"/>
      <c r="E29" s="450" t="n"/>
      <c r="L29" s="451" t="n"/>
      <c r="M29" s="715" t="n"/>
      <c r="N29" s="715" t="n"/>
      <c r="O29" s="715" t="n"/>
      <c r="P29" s="451" t="n"/>
      <c r="Q29" s="715" t="n"/>
      <c r="R29" s="715" t="n"/>
      <c r="S29" s="715" t="n"/>
      <c r="T29" s="716" t="n"/>
      <c r="U29" s="715" t="n"/>
      <c r="V29" s="715" t="n"/>
      <c r="W29" s="715" t="n"/>
      <c r="X29" s="715" t="n"/>
      <c r="Y29" s="717" t="n"/>
      <c r="Z29" s="715" t="n"/>
      <c r="AA29" s="715" t="n"/>
      <c r="AB29" s="5" t="n"/>
    </row>
    <row r="30" ht="39.75" customFormat="1" customHeight="1" s="6">
      <c r="A30" s="10" t="n"/>
      <c r="B30" s="226" t="n"/>
      <c r="C30" s="718" t="inlineStr">
        <is>
          <t>[  견적 산출 근거 및 참고 사항  ]</t>
        </is>
      </c>
      <c r="D30" s="689" t="n"/>
      <c r="E30" s="689" t="n"/>
      <c r="F30" s="689" t="n"/>
      <c r="G30" s="689" t="n"/>
      <c r="H30" s="689" t="n"/>
      <c r="I30" s="689" t="n"/>
      <c r="J30" s="689" t="n"/>
      <c r="K30" s="689" t="n"/>
      <c r="L30" s="689" t="n"/>
      <c r="M30" s="689" t="n"/>
      <c r="N30" s="689" t="n"/>
      <c r="O30" s="689" t="n"/>
      <c r="P30" s="689" t="n"/>
      <c r="Q30" s="689" t="n"/>
      <c r="R30" s="689" t="n"/>
      <c r="S30" s="689" t="n"/>
      <c r="T30" s="689" t="n"/>
      <c r="U30" s="689" t="n"/>
      <c r="V30" s="689" t="n"/>
      <c r="W30" s="689" t="n"/>
      <c r="X30" s="689" t="n"/>
      <c r="Y30" s="689" t="n"/>
      <c r="Z30" s="689" t="n"/>
      <c r="AA30" s="690" t="n"/>
      <c r="AB30" s="5" t="n"/>
    </row>
    <row r="31" ht="39.75" customFormat="1" customHeight="1" s="31">
      <c r="A31" s="29" t="n"/>
      <c r="B31" s="229" t="n"/>
      <c r="C31" s="240" t="inlineStr">
        <is>
          <t>□ 정보통신공사업법 제37조의 2~4</t>
        </is>
      </c>
      <c r="D31" s="243" t="n"/>
      <c r="E31" s="243" t="n"/>
      <c r="F31" s="243" t="n"/>
      <c r="G31" s="243" t="n"/>
      <c r="H31" s="243" t="n"/>
      <c r="I31" s="243" t="n"/>
      <c r="J31" s="244" t="n"/>
      <c r="K31" s="244" t="n"/>
      <c r="L31" s="244" t="n"/>
      <c r="M31" s="244" t="n"/>
      <c r="N31" s="244" t="n"/>
      <c r="O31" s="244" t="n"/>
      <c r="P31" s="245" t="inlineStr">
        <is>
          <t>□ 정보통신공사업법 시행규칙 제8조~제11조</t>
        </is>
      </c>
      <c r="Q31" s="244" t="n"/>
      <c r="R31" s="244" t="n"/>
      <c r="S31" s="244" t="n"/>
      <c r="T31" s="244" t="n"/>
      <c r="U31" s="244" t="n"/>
      <c r="V31" s="244" t="n"/>
      <c r="W31" s="244" t="n"/>
      <c r="X31" s="244" t="n"/>
      <c r="Y31" s="244" t="n"/>
      <c r="Z31" s="244" t="n"/>
      <c r="AA31" s="241" t="n"/>
      <c r="AB31" s="30" t="n"/>
    </row>
    <row r="32" ht="39.75" customFormat="1" customHeight="1" s="31">
      <c r="A32" s="29" t="n"/>
      <c r="B32" s="229" t="n"/>
      <c r="C32" s="240" t="inlineStr">
        <is>
          <t>□ 정보통신공사업법 시행령 제37조의 2~3</t>
        </is>
      </c>
      <c r="D32" s="243" t="n"/>
      <c r="E32" s="243" t="n"/>
      <c r="F32" s="243" t="n"/>
      <c r="G32" s="243" t="n"/>
      <c r="H32" s="243" t="n"/>
      <c r="I32" s="243" t="n"/>
      <c r="J32" s="244" t="n"/>
      <c r="K32" s="244" t="n"/>
      <c r="L32" s="244" t="n"/>
      <c r="M32" s="244" t="n"/>
      <c r="N32" s="244" t="n"/>
      <c r="O32" s="244" t="n"/>
      <c r="P32" s="245" t="inlineStr">
        <is>
          <t>□ 정보통신설비 유지보수·관리기준</t>
        </is>
      </c>
      <c r="Q32" s="244" t="n"/>
      <c r="R32" s="244" t="n"/>
      <c r="S32" s="244" t="n"/>
      <c r="T32" s="244" t="n"/>
      <c r="U32" s="244" t="n"/>
      <c r="V32" s="244" t="n"/>
      <c r="W32" s="244" t="n"/>
      <c r="X32" s="244" t="n"/>
      <c r="Y32" s="244" t="n"/>
      <c r="Z32" s="244" t="n"/>
      <c r="AA32" s="241" t="n"/>
      <c r="AB32" s="30" t="n"/>
    </row>
    <row r="33" ht="39.75" customFormat="1" customHeight="1" s="31">
      <c r="A33" s="29" t="n"/>
      <c r="B33" s="229" t="n"/>
      <c r="C33" s="242" t="inlineStr">
        <is>
          <t>■ 견적금액 조정에 따른 기술인력 투입인원은 조정 될 수 있습니다.</t>
        </is>
      </c>
      <c r="D33" s="243" t="n"/>
      <c r="E33" s="243" t="n"/>
      <c r="F33" s="243" t="n"/>
      <c r="G33" s="243" t="n"/>
      <c r="H33" s="243" t="n"/>
      <c r="I33" s="243" t="n"/>
      <c r="J33" s="244" t="n"/>
      <c r="K33" s="244" t="n"/>
      <c r="L33" s="244" t="n"/>
      <c r="M33" s="244" t="n"/>
      <c r="N33" s="244" t="n"/>
      <c r="O33" s="244" t="n"/>
      <c r="P33" s="244" t="n"/>
      <c r="Q33" s="244" t="n"/>
      <c r="R33" s="244" t="n"/>
      <c r="S33" s="244" t="n"/>
      <c r="T33" s="244" t="n"/>
      <c r="U33" s="244" t="n"/>
      <c r="V33" s="244" t="n"/>
      <c r="W33" s="244" t="n"/>
      <c r="X33" s="244" t="n"/>
      <c r="Y33" s="244" t="n"/>
      <c r="Z33" s="244" t="n"/>
      <c r="AA33" s="241" t="n"/>
      <c r="AB33" s="30" t="n"/>
    </row>
    <row r="34" ht="39.75" customFormat="1" customHeight="1" s="31">
      <c r="A34" s="29" t="n"/>
      <c r="B34" s="229" t="n"/>
      <c r="C34" s="242" t="inlineStr">
        <is>
          <t>■ 반기 유지관리 점검과 성능점검은 동시에 진행 할 수 있습니다.</t>
        </is>
      </c>
      <c r="D34" s="243" t="n"/>
      <c r="E34" s="243" t="n"/>
      <c r="F34" s="243" t="n"/>
      <c r="G34" s="243" t="n"/>
      <c r="H34" s="243" t="n"/>
      <c r="I34" s="243" t="n"/>
      <c r="J34" s="244" t="n"/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4" t="n"/>
      <c r="Y34" s="244" t="n"/>
      <c r="Z34" s="244" t="n"/>
      <c r="AA34" s="241" t="n"/>
      <c r="AB34" s="30" t="n"/>
    </row>
    <row r="35" ht="39.75" customFormat="1" customHeight="1" s="31">
      <c r="A35" s="29" t="n"/>
      <c r="B35" s="229" t="n"/>
      <c r="C35" s="246" t="inlineStr">
        <is>
          <t>■ 장기계약 및 전기, 기계, 소방 통합 계약 고객 할인 혜택을 적용</t>
        </is>
      </c>
      <c r="D35" s="247" t="n"/>
      <c r="E35" s="247" t="n"/>
      <c r="F35" s="247" t="n"/>
      <c r="G35" s="247" t="n"/>
      <c r="H35" s="247" t="n"/>
      <c r="I35" s="247" t="n"/>
      <c r="J35" s="248" t="n"/>
      <c r="K35" s="248" t="n"/>
      <c r="L35" s="248" t="n"/>
      <c r="M35" s="248" t="n"/>
      <c r="N35" s="248" t="n"/>
      <c r="O35" s="248" t="n"/>
      <c r="P35" s="248" t="n"/>
      <c r="Q35" s="248" t="n"/>
      <c r="R35" s="248" t="n"/>
      <c r="S35" s="248" t="n"/>
      <c r="T35" s="248" t="n"/>
      <c r="U35" s="248" t="n"/>
      <c r="V35" s="248" t="n"/>
      <c r="W35" s="248" t="n"/>
      <c r="X35" s="248" t="n"/>
      <c r="Y35" s="248" t="n"/>
      <c r="Z35" s="248" t="n"/>
      <c r="AA35" s="249" t="n"/>
      <c r="AB35" s="30" t="n"/>
    </row>
    <row r="36" ht="27.95" customFormat="1" customHeight="1" s="31" thickBot="1">
      <c r="A36" s="32" t="n"/>
      <c r="B36" s="33" t="n"/>
      <c r="C36" s="232" t="n"/>
      <c r="D36" s="230" t="n"/>
      <c r="E36" s="231" t="n"/>
      <c r="F36" s="231" t="n"/>
      <c r="G36" s="231" t="n"/>
      <c r="H36" s="231" t="n"/>
      <c r="I36" s="231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4" t="n"/>
    </row>
  </sheetData>
  <mergeCells count="84">
    <mergeCell ref="T24:X24"/>
    <mergeCell ref="D19:H19"/>
    <mergeCell ref="U13:W13"/>
    <mergeCell ref="Y26:AA26"/>
    <mergeCell ref="X9:AA9"/>
    <mergeCell ref="Q13:T13"/>
    <mergeCell ref="A2:AA2"/>
    <mergeCell ref="N9:P9"/>
    <mergeCell ref="X11:AA11"/>
    <mergeCell ref="C30:AA30"/>
    <mergeCell ref="P22:S22"/>
    <mergeCell ref="O21:S21"/>
    <mergeCell ref="E29:K29"/>
    <mergeCell ref="S4:AA4"/>
    <mergeCell ref="T22:X22"/>
    <mergeCell ref="W18:AA18"/>
    <mergeCell ref="D25:K25"/>
    <mergeCell ref="T28:X28"/>
    <mergeCell ref="C12:L12"/>
    <mergeCell ref="A3:AB3"/>
    <mergeCell ref="U11:W11"/>
    <mergeCell ref="J17:Q17"/>
    <mergeCell ref="Q9:T9"/>
    <mergeCell ref="V21:Z21"/>
    <mergeCell ref="Y29:AA29"/>
    <mergeCell ref="T29:X29"/>
    <mergeCell ref="Q11:T11"/>
    <mergeCell ref="N8:P8"/>
    <mergeCell ref="D22:K22"/>
    <mergeCell ref="Y22:AA22"/>
    <mergeCell ref="P24:S24"/>
    <mergeCell ref="E8:L8"/>
    <mergeCell ref="U12:W12"/>
    <mergeCell ref="N10:P10"/>
    <mergeCell ref="P26:S26"/>
    <mergeCell ref="E10:L10"/>
    <mergeCell ref="Q12:T12"/>
    <mergeCell ref="D17:H17"/>
    <mergeCell ref="P25:S25"/>
    <mergeCell ref="Y23:AA23"/>
    <mergeCell ref="R17:V17"/>
    <mergeCell ref="Y24:AA24"/>
    <mergeCell ref="Y27:AA28"/>
    <mergeCell ref="D14:H14"/>
    <mergeCell ref="L29:O29"/>
    <mergeCell ref="C28:S28"/>
    <mergeCell ref="J18:Q18"/>
    <mergeCell ref="N12:P12"/>
    <mergeCell ref="L22:O22"/>
    <mergeCell ref="Y25:AA25"/>
    <mergeCell ref="C21:K21"/>
    <mergeCell ref="C29:D29"/>
    <mergeCell ref="J16:AA16"/>
    <mergeCell ref="F11:L11"/>
    <mergeCell ref="D16:H16"/>
    <mergeCell ref="X13:AA13"/>
    <mergeCell ref="T26:X26"/>
    <mergeCell ref="T23:X23"/>
    <mergeCell ref="L24:O24"/>
    <mergeCell ref="C27:S27"/>
    <mergeCell ref="D18:H18"/>
    <mergeCell ref="N11:P11"/>
    <mergeCell ref="L26:O26"/>
    <mergeCell ref="D24:K24"/>
    <mergeCell ref="C26:K26"/>
    <mergeCell ref="T27:X27"/>
    <mergeCell ref="L25:O25"/>
    <mergeCell ref="M8:M12"/>
    <mergeCell ref="Q8:AA8"/>
    <mergeCell ref="T25:X25"/>
    <mergeCell ref="N13:P13"/>
    <mergeCell ref="X12:AA12"/>
    <mergeCell ref="P29:S29"/>
    <mergeCell ref="Q10:AA10"/>
    <mergeCell ref="W17:Y17"/>
    <mergeCell ref="L21:N21"/>
    <mergeCell ref="U9:W9"/>
    <mergeCell ref="F13:J13"/>
    <mergeCell ref="L23:O23"/>
    <mergeCell ref="D15:H15"/>
    <mergeCell ref="P23:S23"/>
    <mergeCell ref="J19:AA19"/>
    <mergeCell ref="D23:K23"/>
    <mergeCell ref="R18:V18"/>
  </mergeCells>
  <printOptions horizontalCentered="1"/>
  <pageMargins left="0.2" right="0.2" top="0.84" bottom="0.34" header="0.3149606299212598" footer="0.3149606299212598"/>
  <pageSetup orientation="portrait" paperSize="9" scale="61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6">
    <tabColor theme="8"/>
    <outlinePr summaryBelow="1" summaryRight="1"/>
    <pageSetUpPr fitToPage="1"/>
  </sheetPr>
  <dimension ref="A1:J36"/>
  <sheetViews>
    <sheetView showGridLines="0" zoomScaleNormal="100" zoomScaleSheetLayoutView="115" workbookViewId="0">
      <selection activeCell="A1" sqref="A1:J1"/>
    </sheetView>
  </sheetViews>
  <sheetFormatPr baseColWidth="8" defaultColWidth="0" defaultRowHeight="13.5" zeroHeight="1"/>
  <cols>
    <col width="3" customWidth="1" style="35" min="1" max="1"/>
    <col width="4.77734375" customWidth="1" style="35" min="2" max="2"/>
    <col width="12.77734375" customWidth="1" style="35" min="3" max="3"/>
    <col width="9.77734375" customWidth="1" style="35" min="4" max="4"/>
    <col width="8.77734375" customWidth="1" style="35" min="5" max="6"/>
    <col width="12.77734375" customWidth="1" style="35" min="7" max="7"/>
    <col width="15.77734375" customWidth="1" style="35" min="8" max="8"/>
    <col width="13.77734375" customWidth="1" style="35" min="9" max="9"/>
    <col width="2.77734375" customWidth="1" style="35" min="10" max="10"/>
    <col hidden="1" style="35" min="11" max="41"/>
    <col hidden="1" width="8.88671875" customWidth="1" style="35" min="42" max="16383"/>
    <col hidden="1" width="23.5546875" customWidth="1" style="35" min="16384" max="16384"/>
  </cols>
  <sheetData>
    <row r="1" ht="35.25" customHeight="1">
      <c r="A1" s="460" t="inlineStr">
        <is>
          <t>성능점검 수수료 산출 내역서</t>
        </is>
      </c>
    </row>
    <row r="2" ht="27.95" customHeight="1" thickBot="1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</row>
    <row r="3" ht="27.95" customHeight="1" thickBot="1">
      <c r="A3" s="474" t="inlineStr">
        <is>
          <t>1. 성 능 점 검</t>
        </is>
      </c>
      <c r="B3" s="719" t="n"/>
      <c r="C3" s="720" t="n"/>
      <c r="D3" s="38" t="n"/>
      <c r="E3" s="38" t="n"/>
      <c r="F3" s="38" t="n"/>
      <c r="G3" s="38" t="n"/>
      <c r="H3" s="38" t="n"/>
      <c r="I3" s="38" t="n"/>
    </row>
    <row r="4" ht="27.95" customHeight="1">
      <c r="A4" s="321" t="inlineStr">
        <is>
          <t>NO</t>
        </is>
      </c>
      <c r="B4" s="39" t="n"/>
      <c r="C4" s="40" t="inlineStr">
        <is>
          <t>항 목</t>
        </is>
      </c>
      <c r="D4" s="41" t="inlineStr">
        <is>
          <t>단  위</t>
        </is>
      </c>
      <c r="E4" s="41" t="inlineStr">
        <is>
          <t>수  량</t>
        </is>
      </c>
      <c r="F4" s="720" t="n"/>
      <c r="G4" s="42" t="inlineStr">
        <is>
          <t>노임단가</t>
        </is>
      </c>
      <c r="H4" s="43" t="inlineStr">
        <is>
          <t>금   액 (원)</t>
        </is>
      </c>
      <c r="I4" s="721" t="inlineStr">
        <is>
          <t>비 고</t>
        </is>
      </c>
      <c r="J4" s="722" t="n"/>
    </row>
    <row r="5" ht="27.95" customHeight="1">
      <c r="A5" s="322" t="inlineStr">
        <is>
          <t>1)</t>
        </is>
      </c>
      <c r="B5" s="44" t="n"/>
      <c r="C5" s="66" t="inlineStr">
        <is>
          <t>직접인건비</t>
        </is>
      </c>
      <c r="D5" s="45" t="n"/>
      <c r="E5" s="723" t="n"/>
      <c r="F5" s="693" t="n"/>
      <c r="G5" s="693" t="n"/>
      <c r="H5" s="693" t="n"/>
      <c r="I5" s="693" t="n"/>
      <c r="J5" s="724" t="n"/>
    </row>
    <row r="6" ht="27.95" customHeight="1">
      <c r="A6" s="323" t="n"/>
      <c r="B6" s="250" t="inlineStr">
        <is>
          <t>특급</t>
        </is>
      </c>
      <c r="C6" s="83" t="inlineStr">
        <is>
          <t>정보통신기술자</t>
        </is>
      </c>
      <c r="D6" s="45" t="inlineStr">
        <is>
          <t>인</t>
        </is>
      </c>
      <c r="E6" s="725" t="n"/>
      <c r="F6" s="694" t="n"/>
      <c r="G6" s="726" t="n"/>
      <c r="H6" s="726">
        <f>IF(E6*G6=0, "", E6*G6)</f>
        <v/>
      </c>
      <c r="I6" s="727" t="n"/>
      <c r="J6" s="724" t="n"/>
    </row>
    <row r="7" ht="27.95" customHeight="1">
      <c r="A7" s="323" t="n"/>
      <c r="B7" s="250" t="inlineStr">
        <is>
          <t>고급</t>
        </is>
      </c>
      <c r="C7" s="83" t="inlineStr">
        <is>
          <t>정보통신기술자</t>
        </is>
      </c>
      <c r="D7" s="45" t="inlineStr">
        <is>
          <t>인</t>
        </is>
      </c>
      <c r="E7" s="725" t="n"/>
      <c r="F7" s="694" t="n"/>
      <c r="G7" s="726" t="n"/>
      <c r="H7" s="726">
        <f>IF(E7*G7=0, "", E7*G7)</f>
        <v/>
      </c>
      <c r="I7" s="727" t="n"/>
      <c r="J7" s="724" t="n"/>
    </row>
    <row r="8" ht="27.95" customHeight="1">
      <c r="A8" s="323" t="n"/>
      <c r="B8" s="250" t="inlineStr">
        <is>
          <t>중급</t>
        </is>
      </c>
      <c r="C8" s="83" t="inlineStr">
        <is>
          <t>정보통신기술자</t>
        </is>
      </c>
      <c r="D8" s="45" t="inlineStr">
        <is>
          <t>인</t>
        </is>
      </c>
      <c r="E8" s="725" t="n"/>
      <c r="F8" s="694" t="n"/>
      <c r="G8" s="726" t="n"/>
      <c r="H8" s="726">
        <f>IF(E8*G8=0, "", E8*G8)</f>
        <v/>
      </c>
      <c r="I8" s="727" t="n"/>
      <c r="J8" s="724" t="n"/>
    </row>
    <row r="9" ht="27.95" customHeight="1">
      <c r="A9" s="323" t="n"/>
      <c r="B9" s="250" t="inlineStr">
        <is>
          <t>초급</t>
        </is>
      </c>
      <c r="C9" s="83" t="inlineStr">
        <is>
          <t>정보통신기술자</t>
        </is>
      </c>
      <c r="D9" s="58" t="inlineStr">
        <is>
          <t>인</t>
        </is>
      </c>
      <c r="E9" s="725" t="n"/>
      <c r="F9" s="694" t="n"/>
      <c r="G9" s="726" t="n"/>
      <c r="H9" s="726">
        <f>IF(E9*G9=0, "", E9*G9)</f>
        <v/>
      </c>
      <c r="I9" s="727" t="n"/>
      <c r="J9" s="724" t="n"/>
    </row>
    <row r="10" ht="27.95" customHeight="1">
      <c r="A10" s="728" t="inlineStr">
        <is>
          <t>직접인건비 합계</t>
        </is>
      </c>
      <c r="B10" s="693" t="n"/>
      <c r="C10" s="694" t="n"/>
      <c r="D10" s="58" t="n"/>
      <c r="E10" s="729" t="n"/>
      <c r="F10" s="693" t="n"/>
      <c r="G10" s="730" t="n"/>
      <c r="H10" s="726" t="n"/>
      <c r="I10" s="727" t="n"/>
      <c r="J10" s="724" t="n"/>
    </row>
    <row r="11" ht="27.95" customHeight="1">
      <c r="A11" s="322" t="inlineStr">
        <is>
          <t>2)</t>
        </is>
      </c>
      <c r="B11" s="44" t="n"/>
      <c r="C11" s="66" t="inlineStr">
        <is>
          <t>직접경비</t>
        </is>
      </c>
      <c r="D11" s="48" t="inlineStr">
        <is>
          <t>식</t>
        </is>
      </c>
      <c r="E11" s="461" t="inlineStr">
        <is>
          <t xml:space="preserve"> 직접인건비의</t>
        </is>
      </c>
      <c r="F11" s="693" t="n"/>
      <c r="G11" s="731" t="n">
        <v>0.1</v>
      </c>
      <c r="H11" s="732" t="n"/>
      <c r="I11" s="733" t="inlineStr">
        <is>
          <t>여비,차량운행비
현장소요경비 등</t>
        </is>
      </c>
      <c r="J11" s="724" t="n"/>
    </row>
    <row r="12" ht="27.95" customHeight="1">
      <c r="A12" s="322" t="inlineStr">
        <is>
          <t>3)</t>
        </is>
      </c>
      <c r="B12" s="44" t="n"/>
      <c r="C12" s="66" t="inlineStr">
        <is>
          <t>제 경 비</t>
        </is>
      </c>
      <c r="D12" s="48" t="inlineStr">
        <is>
          <t>식</t>
        </is>
      </c>
      <c r="E12" s="461" t="inlineStr">
        <is>
          <t xml:space="preserve"> 직접인건비의</t>
        </is>
      </c>
      <c r="F12" s="693" t="n"/>
      <c r="G12" s="731" t="n">
        <v>1.1</v>
      </c>
      <c r="H12" s="732" t="n"/>
      <c r="I12" s="734" t="inlineStr">
        <is>
          <t>110~120%</t>
        </is>
      </c>
      <c r="J12" s="724" t="n"/>
    </row>
    <row r="13" ht="27.95" customHeight="1">
      <c r="A13" s="322" t="inlineStr">
        <is>
          <t>4)</t>
        </is>
      </c>
      <c r="B13" s="44" t="n"/>
      <c r="C13" s="66" t="inlineStr">
        <is>
          <t>기 술 료</t>
        </is>
      </c>
      <c r="D13" s="48" t="inlineStr">
        <is>
          <t>식</t>
        </is>
      </c>
      <c r="E13" s="461" t="inlineStr">
        <is>
          <t xml:space="preserve"> 직접인건비+제경비의</t>
        </is>
      </c>
      <c r="F13" s="693" t="n"/>
      <c r="G13" s="731" t="n">
        <v>0.2</v>
      </c>
      <c r="H13" s="732" t="n"/>
      <c r="I13" s="734" t="inlineStr">
        <is>
          <t>20~40%</t>
        </is>
      </c>
      <c r="J13" s="724" t="n"/>
    </row>
    <row r="14" ht="27.95" customHeight="1">
      <c r="A14" s="322" t="inlineStr">
        <is>
          <t>5)</t>
        </is>
      </c>
      <c r="B14" s="44" t="n"/>
      <c r="C14" s="66" t="inlineStr">
        <is>
          <t>소계</t>
        </is>
      </c>
      <c r="D14" s="48" t="n"/>
      <c r="E14" s="461" t="inlineStr">
        <is>
          <t>(1+2+3+4)</t>
        </is>
      </c>
      <c r="F14" s="693" t="n"/>
      <c r="G14" s="731" t="n"/>
      <c r="H14" s="735" t="n"/>
      <c r="I14" s="736" t="n"/>
      <c r="J14" s="724" t="n"/>
    </row>
    <row r="15" ht="27.95" customHeight="1">
      <c r="A15" s="322" t="inlineStr">
        <is>
          <t>6)</t>
        </is>
      </c>
      <c r="B15" s="44" t="n"/>
      <c r="C15" s="66" t="inlineStr">
        <is>
          <t>조정금액</t>
        </is>
      </c>
      <c r="D15" s="48" t="n"/>
      <c r="E15" s="737" t="n"/>
      <c r="F15" s="693" t="n"/>
      <c r="G15" s="694" t="n"/>
      <c r="H15" s="735" t="n"/>
      <c r="I15" s="736" t="n"/>
      <c r="J15" s="724" t="n"/>
    </row>
    <row r="16" ht="7.5" customHeight="1">
      <c r="A16" s="325" t="n"/>
      <c r="B16" s="52" t="n"/>
      <c r="C16" s="52" t="n"/>
      <c r="D16" s="478" t="n"/>
      <c r="E16" s="52" t="n"/>
      <c r="F16" s="52" t="n"/>
      <c r="G16" s="52" t="n"/>
      <c r="H16" s="52" t="n"/>
      <c r="I16" s="52" t="n"/>
      <c r="J16" s="324" t="n"/>
    </row>
    <row r="17" ht="27.95" customFormat="1" customHeight="1" s="36" thickBot="1">
      <c r="A17" s="326" t="inlineStr">
        <is>
          <t>7)</t>
        </is>
      </c>
      <c r="B17" s="54" t="n"/>
      <c r="C17" s="84" t="inlineStr">
        <is>
          <t>합 계 금 액</t>
        </is>
      </c>
      <c r="D17" s="85" t="n"/>
      <c r="E17" s="86" t="n"/>
      <c r="F17" s="86" t="n"/>
      <c r="G17" s="55" t="n"/>
      <c r="H17" s="738" t="n"/>
      <c r="I17" s="739" t="n"/>
      <c r="J17" s="740" t="n"/>
    </row>
    <row r="18" ht="15" customHeight="1" thickBo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</row>
    <row r="19" ht="24" customHeight="1">
      <c r="A19" s="741" t="inlineStr">
        <is>
          <t>[견적 산출 조건]</t>
        </is>
      </c>
      <c r="B19" s="742" t="n"/>
      <c r="C19" s="742" t="n"/>
      <c r="D19" s="742" t="n"/>
      <c r="E19" s="742" t="n"/>
      <c r="F19" s="742" t="n"/>
      <c r="G19" s="742" t="n"/>
      <c r="H19" s="742" t="n"/>
      <c r="I19" s="742" t="n"/>
      <c r="J19" s="743" t="n"/>
    </row>
    <row r="20" ht="20.1" customHeight="1">
      <c r="A20" s="109" t="n"/>
      <c r="B20" s="110" t="inlineStr">
        <is>
          <t>1. 관련 근거</t>
        </is>
      </c>
      <c r="C20" s="74" t="n"/>
      <c r="D20" s="74" t="n"/>
      <c r="E20" s="74" t="n"/>
      <c r="F20" s="74" t="n"/>
      <c r="G20" s="74" t="n"/>
      <c r="H20" s="74" t="n"/>
      <c r="I20" s="74" t="n"/>
      <c r="J20" s="111" t="n"/>
    </row>
    <row r="21" ht="20.1" customHeight="1">
      <c r="A21" s="112" t="n"/>
      <c r="B21" s="113" t="inlineStr">
        <is>
          <t>● 「정보통신공사업법」 제37조의 2~4, 제78조</t>
        </is>
      </c>
      <c r="C21" s="74" t="n"/>
      <c r="D21" s="74" t="n"/>
      <c r="E21" s="74" t="n"/>
      <c r="F21" s="74" t="n"/>
      <c r="G21" s="74" t="n"/>
      <c r="H21" s="74" t="n"/>
      <c r="I21" s="74" t="n"/>
      <c r="J21" s="111" t="n"/>
    </row>
    <row r="22" ht="20.1" customHeight="1">
      <c r="A22" s="112" t="n"/>
      <c r="B22" s="113" t="inlineStr">
        <is>
          <t>● 「정보통신공사업법 시행령」 제37조의 2~3, 제58조</t>
        </is>
      </c>
      <c r="C22" s="74" t="n"/>
      <c r="D22" s="74" t="n"/>
      <c r="E22" s="74" t="n"/>
      <c r="F22" s="74" t="n"/>
      <c r="G22" s="74" t="n"/>
      <c r="H22" s="74" t="n"/>
      <c r="I22" s="74" t="n"/>
      <c r="J22" s="111" t="n"/>
    </row>
    <row r="23" ht="20.1" customHeight="1">
      <c r="A23" s="112" t="n"/>
      <c r="B23" s="113" t="inlineStr">
        <is>
          <t>● 「정보통신공사업법 시행규칙」 제8조 ~ 제11조</t>
        </is>
      </c>
      <c r="C23" s="74" t="n"/>
      <c r="D23" s="74" t="n"/>
      <c r="E23" s="74" t="n"/>
      <c r="F23" s="74" t="n"/>
      <c r="G23" s="74" t="n"/>
      <c r="H23" s="74" t="n"/>
      <c r="I23" s="74" t="n"/>
      <c r="J23" s="111" t="n"/>
    </row>
    <row r="24" ht="20.1" customHeight="1">
      <c r="A24" s="112" t="n"/>
      <c r="B24" s="113" t="inlineStr">
        <is>
          <t>● 「정보통신설비 유지보수·관리기준」</t>
        </is>
      </c>
      <c r="C24" s="74" t="n"/>
      <c r="D24" s="74" t="n"/>
      <c r="E24" s="74" t="n"/>
      <c r="F24" s="74" t="n"/>
      <c r="G24" s="74" t="n"/>
      <c r="H24" s="74" t="n"/>
      <c r="I24" s="74" t="n"/>
      <c r="J24" s="111" t="n"/>
    </row>
    <row r="25" ht="20.1" customHeight="1">
      <c r="A25" s="114" t="n"/>
      <c r="B25" s="115" t="n"/>
      <c r="C25" s="74" t="n"/>
      <c r="D25" s="74" t="n"/>
      <c r="E25" s="74" t="n"/>
      <c r="F25" s="74" t="n"/>
      <c r="G25" s="74" t="n"/>
      <c r="H25" s="74" t="n"/>
      <c r="I25" s="74" t="n"/>
      <c r="J25" s="111" t="n"/>
    </row>
    <row r="26" ht="20.1" customHeight="1">
      <c r="A26" s="109" t="n"/>
      <c r="B26" s="110" t="inlineStr">
        <is>
          <t>2. 성능점검 의무사항</t>
        </is>
      </c>
      <c r="C26" s="74" t="n"/>
      <c r="D26" s="74" t="n"/>
      <c r="E26" s="74" t="n"/>
      <c r="F26" s="74" t="n"/>
      <c r="G26" s="74" t="n"/>
      <c r="H26" s="74" t="n"/>
      <c r="I26" s="74" t="n"/>
      <c r="J26" s="111" t="n"/>
    </row>
    <row r="27">
      <c r="A27" s="116" t="n"/>
      <c r="B27" s="744" t="inlineStr">
        <is>
          <t>구분</t>
        </is>
      </c>
      <c r="C27" s="694" t="n"/>
      <c r="D27" s="745" t="inlineStr">
        <is>
          <t>성능점검</t>
        </is>
      </c>
      <c r="E27" s="693" t="n"/>
      <c r="F27" s="693" t="n"/>
      <c r="G27" s="693" t="n"/>
      <c r="H27" s="693" t="n"/>
      <c r="I27" s="694" t="n"/>
      <c r="J27" s="117" t="n"/>
    </row>
    <row r="28">
      <c r="A28" s="118" t="n"/>
      <c r="B28" s="746" t="inlineStr">
        <is>
          <t>관리방식</t>
        </is>
      </c>
      <c r="C28" s="711" t="n"/>
      <c r="D28" s="747" t="inlineStr">
        <is>
          <t>관리주체가 성능점검을 직접 실시하는 경우, 규칙 별표1의 유지보수, 관리자
선임기준을 준용하여 연면적 규모에 적합하게 고용하여 성능점검 실시
※ 공사업자, 용역업자에게 점검대행 가능</t>
        </is>
      </c>
      <c r="E28" s="710" t="n"/>
      <c r="F28" s="710" t="n"/>
      <c r="G28" s="710" t="n"/>
      <c r="H28" s="710" t="n"/>
      <c r="I28" s="711" t="n"/>
      <c r="J28" s="119" t="n"/>
    </row>
    <row r="29">
      <c r="A29" s="118" t="n"/>
      <c r="B29" s="748" t="n"/>
      <c r="C29" s="749" t="n"/>
      <c r="D29" s="750" t="n"/>
      <c r="I29" s="749" t="n"/>
      <c r="J29" s="119" t="n"/>
    </row>
    <row r="30">
      <c r="A30" s="118" t="n"/>
      <c r="B30" s="751" t="n"/>
      <c r="C30" s="752" t="n"/>
      <c r="D30" s="753" t="n"/>
      <c r="E30" s="754" t="n"/>
      <c r="F30" s="754" t="n"/>
      <c r="G30" s="754" t="n"/>
      <c r="H30" s="754" t="n"/>
      <c r="I30" s="752" t="n"/>
      <c r="J30" s="119" t="n"/>
    </row>
    <row r="31">
      <c r="A31" s="118" t="n"/>
      <c r="B31" s="755" t="inlineStr">
        <is>
          <t>점검주기</t>
        </is>
      </c>
      <c r="C31" s="756" t="n"/>
      <c r="D31" s="757" t="inlineStr">
        <is>
          <t>매년 1회 이상</t>
        </is>
      </c>
      <c r="E31" s="758" t="n"/>
      <c r="F31" s="758" t="n"/>
      <c r="G31" s="758" t="n"/>
      <c r="H31" s="758" t="n"/>
      <c r="I31" s="756" t="n"/>
      <c r="J31" s="120" t="n"/>
    </row>
    <row r="32">
      <c r="A32" s="118" t="n"/>
      <c r="B32" s="755" t="inlineStr">
        <is>
          <t>점검사항</t>
        </is>
      </c>
      <c r="C32" s="759" t="n"/>
      <c r="D32" s="760" t="inlineStr">
        <is>
          <t>1. 정보통신설비 성능점검표 기록 및 보존</t>
        </is>
      </c>
      <c r="E32" s="761" t="n"/>
      <c r="F32" s="761" t="n"/>
      <c r="G32" s="761" t="n"/>
      <c r="H32" s="761" t="n"/>
      <c r="I32" s="759" t="n"/>
      <c r="J32" s="120" t="n"/>
    </row>
    <row r="33">
      <c r="A33" s="118" t="n"/>
      <c r="B33" s="751" t="n"/>
      <c r="C33" s="752" t="n"/>
      <c r="D33" s="762" t="inlineStr">
        <is>
          <t>2. 정보통신설비 성능점검표 지차체 제출</t>
        </is>
      </c>
      <c r="E33" s="754" t="n"/>
      <c r="F33" s="754" t="n"/>
      <c r="G33" s="754" t="n"/>
      <c r="H33" s="754" t="n"/>
      <c r="I33" s="752" t="n"/>
      <c r="J33" s="120" t="n"/>
    </row>
    <row r="34">
      <c r="A34" s="118" t="n"/>
      <c r="B34" s="763" t="inlineStr">
        <is>
          <t>보존기간</t>
        </is>
      </c>
      <c r="C34" s="764" t="n"/>
      <c r="D34" s="765" t="inlineStr">
        <is>
          <t>5년</t>
        </is>
      </c>
      <c r="E34" s="766" t="n"/>
      <c r="F34" s="766" t="n"/>
      <c r="G34" s="766" t="n"/>
      <c r="H34" s="766" t="n"/>
      <c r="I34" s="764" t="n"/>
      <c r="J34" s="120" t="n"/>
    </row>
    <row r="35" ht="34.5" customHeight="1" thickBot="1">
      <c r="A35" s="121" t="n"/>
      <c r="B35" s="122" t="n"/>
      <c r="C35" s="122" t="n"/>
      <c r="D35" s="122" t="n"/>
      <c r="E35" s="122" t="n"/>
      <c r="F35" s="122" t="n"/>
      <c r="G35" s="122" t="n"/>
      <c r="H35" s="122" t="n"/>
      <c r="I35" s="122" t="n"/>
      <c r="J35" s="123" t="n"/>
    </row>
    <row r="36" ht="30" customHeight="1">
      <c r="A36" s="522" t="n"/>
      <c r="B36" s="742" t="n"/>
      <c r="C36" s="742" t="n"/>
      <c r="D36" s="742" t="n"/>
      <c r="E36" s="742" t="n"/>
      <c r="F36" s="742" t="n"/>
      <c r="G36" s="742" t="n"/>
      <c r="H36" s="742" t="n"/>
      <c r="I36" s="742" t="n"/>
      <c r="J36" s="742" t="n"/>
    </row>
  </sheetData>
  <mergeCells count="40">
    <mergeCell ref="E12:F12"/>
    <mergeCell ref="D27:I27"/>
    <mergeCell ref="I6:J6"/>
    <mergeCell ref="D32:I32"/>
    <mergeCell ref="I15:J15"/>
    <mergeCell ref="I11:J11"/>
    <mergeCell ref="A3:C3"/>
    <mergeCell ref="E14:F14"/>
    <mergeCell ref="B31:C31"/>
    <mergeCell ref="B27:C27"/>
    <mergeCell ref="E15:G15"/>
    <mergeCell ref="E8:F8"/>
    <mergeCell ref="A19:J19"/>
    <mergeCell ref="E4:F4"/>
    <mergeCell ref="E10:F10"/>
    <mergeCell ref="I7:J7"/>
    <mergeCell ref="D28:I30"/>
    <mergeCell ref="E13:F13"/>
    <mergeCell ref="B32:C33"/>
    <mergeCell ref="E9:F9"/>
    <mergeCell ref="D33:I33"/>
    <mergeCell ref="A10:C10"/>
    <mergeCell ref="A1:J1"/>
    <mergeCell ref="I12:J12"/>
    <mergeCell ref="E6:F6"/>
    <mergeCell ref="A36:J36"/>
    <mergeCell ref="B34:C34"/>
    <mergeCell ref="E11:F11"/>
    <mergeCell ref="B28:C30"/>
    <mergeCell ref="I14:J14"/>
    <mergeCell ref="I8:J8"/>
    <mergeCell ref="I17:J17"/>
    <mergeCell ref="D34:I34"/>
    <mergeCell ref="I4:J4"/>
    <mergeCell ref="E7:F7"/>
    <mergeCell ref="I10:J10"/>
    <mergeCell ref="E5:J5"/>
    <mergeCell ref="D31:I31"/>
    <mergeCell ref="I13:J13"/>
    <mergeCell ref="I9:J9"/>
  </mergeCells>
  <printOptions horizontalCentered="1"/>
  <pageMargins left="0.2" right="0.2" top="0.7874015748031497" bottom="0.3937007874015748" header="0.3149606299212598" footer="0.4724409448818898"/>
  <pageSetup orientation="portrait" paperSize="9" scale="8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 fitToPage="1"/>
  </sheetPr>
  <dimension ref="A1:J36"/>
  <sheetViews>
    <sheetView showGridLines="0" zoomScaleNormal="100" zoomScaleSheetLayoutView="115" workbookViewId="0">
      <selection activeCell="A1" sqref="A1:J1"/>
    </sheetView>
  </sheetViews>
  <sheetFormatPr baseColWidth="8" defaultColWidth="0" defaultRowHeight="13.5" zeroHeight="1"/>
  <cols>
    <col width="3" customWidth="1" style="35" min="1" max="1"/>
    <col width="4.77734375" customWidth="1" style="35" min="2" max="2"/>
    <col width="12.77734375" customWidth="1" style="35" min="3" max="3"/>
    <col width="9.77734375" customWidth="1" style="35" min="4" max="4"/>
    <col width="8.77734375" customWidth="1" style="35" min="5" max="6"/>
    <col width="12.77734375" customWidth="1" style="35" min="7" max="7"/>
    <col width="15.77734375" customWidth="1" style="35" min="8" max="8"/>
    <col width="13.77734375" customWidth="1" style="35" min="9" max="9"/>
    <col width="2.77734375" customWidth="1" style="35" min="10" max="10"/>
    <col hidden="1" style="35" min="11" max="41"/>
    <col hidden="1" width="8.88671875" customWidth="1" style="35" min="42" max="16384"/>
  </cols>
  <sheetData>
    <row r="1" ht="35.25" customHeight="1">
      <c r="A1" s="460" t="inlineStr">
        <is>
          <t>유지점검 수수료 산출 내역서</t>
        </is>
      </c>
    </row>
    <row r="2" ht="27.95" customHeight="1" thickBot="1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</row>
    <row r="3" ht="27.95" customHeight="1" thickBot="1">
      <c r="A3" s="531" t="inlineStr">
        <is>
          <t>2. 유 지 점 검</t>
        </is>
      </c>
      <c r="B3" s="719" t="n"/>
      <c r="C3" s="720" t="n"/>
      <c r="D3" s="38" t="n"/>
      <c r="E3" s="38" t="n"/>
      <c r="F3" s="38" t="n"/>
      <c r="G3" s="38" t="n"/>
      <c r="H3" s="38" t="n"/>
      <c r="I3" s="38" t="n"/>
    </row>
    <row r="4" ht="27.95" customHeight="1">
      <c r="A4" s="327" t="inlineStr">
        <is>
          <t>NO</t>
        </is>
      </c>
      <c r="B4" s="87" t="n"/>
      <c r="C4" s="88" t="inlineStr">
        <is>
          <t>항 목</t>
        </is>
      </c>
      <c r="D4" s="89" t="inlineStr">
        <is>
          <t>단  위</t>
        </is>
      </c>
      <c r="E4" s="89" t="inlineStr">
        <is>
          <t>수  량</t>
        </is>
      </c>
      <c r="F4" s="720" t="n"/>
      <c r="G4" s="90" t="inlineStr">
        <is>
          <t>노임단가</t>
        </is>
      </c>
      <c r="H4" s="90" t="inlineStr">
        <is>
          <t>금   액 (원)</t>
        </is>
      </c>
      <c r="I4" s="767" t="inlineStr">
        <is>
          <t>비 고</t>
        </is>
      </c>
      <c r="J4" s="722" t="n"/>
    </row>
    <row r="5" ht="27.95" customHeight="1">
      <c r="A5" s="328" t="inlineStr">
        <is>
          <t>1)</t>
        </is>
      </c>
      <c r="B5" s="91" t="n"/>
      <c r="C5" s="92" t="inlineStr">
        <is>
          <t>직접인건비</t>
        </is>
      </c>
      <c r="D5" s="93" t="n"/>
      <c r="E5" s="768" t="n"/>
      <c r="F5" s="693" t="n"/>
      <c r="G5" s="693" t="n"/>
      <c r="H5" s="693" t="n"/>
      <c r="I5" s="693" t="n"/>
      <c r="J5" s="724" t="n"/>
    </row>
    <row r="6" ht="27.95" customHeight="1">
      <c r="A6" s="329" t="n"/>
      <c r="B6" s="94" t="inlineStr">
        <is>
          <t>특급</t>
        </is>
      </c>
      <c r="C6" s="95" t="inlineStr">
        <is>
          <t>정보통신기술자</t>
        </is>
      </c>
      <c r="D6" s="96" t="inlineStr">
        <is>
          <t>인</t>
        </is>
      </c>
      <c r="E6" s="769" t="n"/>
      <c r="F6" s="694" t="n"/>
      <c r="G6" s="730" t="n"/>
      <c r="H6" s="726">
        <f>IF(E6*G6=0, "", E6*G6)</f>
        <v/>
      </c>
      <c r="I6" s="727" t="n"/>
      <c r="J6" s="724" t="n"/>
    </row>
    <row r="7" ht="27.95" customHeight="1">
      <c r="A7" s="330" t="n"/>
      <c r="B7" s="97" t="inlineStr">
        <is>
          <t>고급</t>
        </is>
      </c>
      <c r="C7" s="98" t="inlineStr">
        <is>
          <t>정보통신기술자</t>
        </is>
      </c>
      <c r="D7" s="96" t="inlineStr">
        <is>
          <t>인</t>
        </is>
      </c>
      <c r="E7" s="769" t="n"/>
      <c r="F7" s="694" t="n"/>
      <c r="G7" s="730" t="n"/>
      <c r="H7" s="726">
        <f>IF(E7*G7=0, "", E7*G7)</f>
        <v/>
      </c>
      <c r="I7" s="727" t="n"/>
      <c r="J7" s="724" t="n"/>
    </row>
    <row r="8" ht="27.95" customHeight="1">
      <c r="A8" s="330" t="n"/>
      <c r="B8" s="97" t="inlineStr">
        <is>
          <t>중급</t>
        </is>
      </c>
      <c r="C8" s="98" t="inlineStr">
        <is>
          <t>정보통신기술자</t>
        </is>
      </c>
      <c r="D8" s="96" t="inlineStr">
        <is>
          <t>인</t>
        </is>
      </c>
      <c r="E8" s="769" t="n"/>
      <c r="F8" s="694" t="n"/>
      <c r="G8" s="730" t="n"/>
      <c r="H8" s="726">
        <f>IF(E8*G8=0, "", E8*G8)</f>
        <v/>
      </c>
      <c r="I8" s="727" t="n"/>
      <c r="J8" s="724" t="n"/>
    </row>
    <row r="9" ht="27.95" customHeight="1">
      <c r="A9" s="330" t="n"/>
      <c r="B9" s="97" t="inlineStr">
        <is>
          <t>초급</t>
        </is>
      </c>
      <c r="C9" s="98" t="inlineStr">
        <is>
          <t>정보통신기술자</t>
        </is>
      </c>
      <c r="D9" s="96" t="inlineStr">
        <is>
          <t>인</t>
        </is>
      </c>
      <c r="E9" s="769" t="n"/>
      <c r="F9" s="694" t="n"/>
      <c r="G9" s="730" t="n"/>
      <c r="H9" s="726">
        <f>IF(E9*G9=0, "", E9*G9)</f>
        <v/>
      </c>
      <c r="I9" s="727" t="n"/>
      <c r="J9" s="724" t="n"/>
    </row>
    <row r="10" ht="27.95" customHeight="1">
      <c r="A10" s="770" t="inlineStr">
        <is>
          <t>직접인건비 합계</t>
        </is>
      </c>
      <c r="B10" s="693" t="n"/>
      <c r="C10" s="694" t="n"/>
      <c r="D10" s="96" t="n"/>
      <c r="E10" s="771" t="n"/>
      <c r="F10" s="693" t="n"/>
      <c r="G10" s="772" t="n"/>
      <c r="H10" s="773" t="n"/>
      <c r="I10" s="727" t="n"/>
      <c r="J10" s="724" t="n"/>
    </row>
    <row r="11" ht="27.95" customHeight="1">
      <c r="A11" s="328" t="inlineStr">
        <is>
          <t>2)</t>
        </is>
      </c>
      <c r="B11" s="91" t="n"/>
      <c r="C11" s="92" t="inlineStr">
        <is>
          <t>직접경비</t>
        </is>
      </c>
      <c r="D11" s="251" t="inlineStr">
        <is>
          <t>식</t>
        </is>
      </c>
      <c r="E11" s="461" t="inlineStr">
        <is>
          <t xml:space="preserve"> 직접인건비의</t>
        </is>
      </c>
      <c r="F11" s="693" t="n"/>
      <c r="G11" s="731" t="n">
        <v>0.1</v>
      </c>
      <c r="H11" s="732" t="n"/>
      <c r="I11" s="733" t="inlineStr">
        <is>
          <t>여비,차량운행비
현장소요경비 등</t>
        </is>
      </c>
      <c r="J11" s="724" t="n"/>
    </row>
    <row r="12" ht="27.95" customHeight="1">
      <c r="A12" s="328" t="inlineStr">
        <is>
          <t>3)</t>
        </is>
      </c>
      <c r="B12" s="91" t="n"/>
      <c r="C12" s="92" t="inlineStr">
        <is>
          <t>제 경 비</t>
        </is>
      </c>
      <c r="D12" s="251" t="inlineStr">
        <is>
          <t>식</t>
        </is>
      </c>
      <c r="E12" s="461" t="inlineStr">
        <is>
          <t xml:space="preserve"> 직접인건비의</t>
        </is>
      </c>
      <c r="F12" s="693" t="n"/>
      <c r="G12" s="731" t="n">
        <v>1.1</v>
      </c>
      <c r="H12" s="732" t="n"/>
      <c r="I12" s="734" t="inlineStr">
        <is>
          <t>110~120%</t>
        </is>
      </c>
      <c r="J12" s="724" t="n"/>
    </row>
    <row r="13" ht="27.95" customHeight="1">
      <c r="A13" s="328" t="inlineStr">
        <is>
          <t>4)</t>
        </is>
      </c>
      <c r="B13" s="91" t="n"/>
      <c r="C13" s="92" t="inlineStr">
        <is>
          <t>기 술 료</t>
        </is>
      </c>
      <c r="D13" s="251" t="inlineStr">
        <is>
          <t>식</t>
        </is>
      </c>
      <c r="E13" s="461" t="inlineStr">
        <is>
          <t xml:space="preserve"> 직접인건비+제경비의</t>
        </is>
      </c>
      <c r="F13" s="693" t="n"/>
      <c r="G13" s="731" t="n">
        <v>0.2</v>
      </c>
      <c r="H13" s="732" t="n"/>
      <c r="I13" s="734" t="inlineStr">
        <is>
          <t>20~40%</t>
        </is>
      </c>
      <c r="J13" s="724" t="n"/>
    </row>
    <row r="14" ht="27.95" customHeight="1">
      <c r="A14" s="331" t="inlineStr">
        <is>
          <t>5)</t>
        </is>
      </c>
      <c r="B14" s="99" t="n"/>
      <c r="C14" s="100" t="inlineStr">
        <is>
          <t>소  계</t>
        </is>
      </c>
      <c r="D14" s="93" t="n"/>
      <c r="E14" s="461" t="inlineStr">
        <is>
          <t>(1+2+3+4)</t>
        </is>
      </c>
      <c r="F14" s="693" t="n"/>
      <c r="G14" s="731" t="n"/>
      <c r="H14" s="735" t="n"/>
      <c r="I14" s="736" t="n"/>
      <c r="J14" s="724" t="n"/>
    </row>
    <row r="15" ht="27.95" customHeight="1">
      <c r="A15" s="331" t="inlineStr">
        <is>
          <t>6)</t>
        </is>
      </c>
      <c r="B15" s="99" t="n"/>
      <c r="C15" s="101" t="inlineStr">
        <is>
          <t>조정금액</t>
        </is>
      </c>
      <c r="D15" s="93" t="n"/>
      <c r="E15" s="737" t="n"/>
      <c r="F15" s="693" t="n"/>
      <c r="G15" s="694" t="n"/>
      <c r="H15" s="774" t="n"/>
      <c r="I15" s="736" t="n"/>
      <c r="J15" s="724" t="n"/>
    </row>
    <row r="16" ht="7.5" customHeight="1">
      <c r="A16" s="332" t="n"/>
      <c r="B16" s="60" t="n"/>
      <c r="C16" s="61" t="n"/>
      <c r="D16" s="62" t="n"/>
      <c r="E16" s="52" t="n"/>
      <c r="F16" s="52" t="n"/>
      <c r="G16" s="52" t="n"/>
      <c r="H16" s="52" t="n"/>
      <c r="I16" s="52" t="n"/>
      <c r="J16" s="324" t="n"/>
    </row>
    <row r="17" ht="27.95" customFormat="1" customHeight="1" s="36" thickBot="1">
      <c r="A17" s="333" t="inlineStr">
        <is>
          <t>7)</t>
        </is>
      </c>
      <c r="B17" s="102" t="n"/>
      <c r="C17" s="103" t="inlineStr">
        <is>
          <t>합 계 금 액</t>
        </is>
      </c>
      <c r="D17" s="104" t="n"/>
      <c r="E17" s="104" t="n"/>
      <c r="F17" s="104" t="n"/>
      <c r="G17" s="105" t="n"/>
      <c r="H17" s="775" t="n"/>
      <c r="I17" s="776" t="n"/>
      <c r="J17" s="740" t="n"/>
    </row>
    <row r="18" ht="15" customHeight="1" thickBo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</row>
    <row r="19" ht="24" customHeight="1">
      <c r="A19" s="777" t="inlineStr">
        <is>
          <t>[견적 산출 조건]</t>
        </is>
      </c>
      <c r="B19" s="742" t="n"/>
      <c r="C19" s="742" t="n"/>
      <c r="D19" s="742" t="n"/>
      <c r="E19" s="742" t="n"/>
      <c r="F19" s="742" t="n"/>
      <c r="G19" s="742" t="n"/>
      <c r="H19" s="742" t="n"/>
      <c r="I19" s="742" t="n"/>
      <c r="J19" s="743" t="n"/>
    </row>
    <row r="20" ht="20.1" customHeight="1">
      <c r="A20" s="109" t="n"/>
      <c r="B20" s="110" t="inlineStr">
        <is>
          <t>1. 관련 근거</t>
        </is>
      </c>
      <c r="C20" s="74" t="n"/>
      <c r="D20" s="74" t="n"/>
      <c r="E20" s="74" t="n"/>
      <c r="F20" s="74" t="n"/>
      <c r="G20" s="74" t="n"/>
      <c r="H20" s="74" t="n"/>
      <c r="I20" s="74" t="n"/>
      <c r="J20" s="111" t="n"/>
    </row>
    <row r="21" ht="20.1" customHeight="1">
      <c r="A21" s="112" t="n"/>
      <c r="B21" s="113" t="inlineStr">
        <is>
          <t>● 「정보통신공사업법」 제37조의 2~4, 제78조</t>
        </is>
      </c>
      <c r="C21" s="74" t="n"/>
      <c r="D21" s="74" t="n"/>
      <c r="E21" s="74" t="n"/>
      <c r="F21" s="74" t="n"/>
      <c r="G21" s="74" t="n"/>
      <c r="H21" s="74" t="n"/>
      <c r="I21" s="74" t="n"/>
      <c r="J21" s="111" t="n"/>
    </row>
    <row r="22" ht="20.1" customHeight="1">
      <c r="A22" s="112" t="n"/>
      <c r="B22" s="113" t="inlineStr">
        <is>
          <t>● 「정보통신공사업법 시행령」 제37조의 2~3, 제58조</t>
        </is>
      </c>
      <c r="C22" s="74" t="n"/>
      <c r="D22" s="74" t="n"/>
      <c r="E22" s="74" t="n"/>
      <c r="F22" s="74" t="n"/>
      <c r="G22" s="74" t="n"/>
      <c r="H22" s="74" t="n"/>
      <c r="I22" s="74" t="n"/>
      <c r="J22" s="111" t="n"/>
    </row>
    <row r="23" ht="20.1" customHeight="1">
      <c r="A23" s="112" t="n"/>
      <c r="B23" s="113" t="inlineStr">
        <is>
          <t>● 「정보통신공사업법 시행규칙」 제8조 ~ 제11조</t>
        </is>
      </c>
      <c r="C23" s="74" t="n"/>
      <c r="D23" s="74" t="n"/>
      <c r="E23" s="74" t="n"/>
      <c r="F23" s="74" t="n"/>
      <c r="G23" s="74" t="n"/>
      <c r="H23" s="74" t="n"/>
      <c r="I23" s="74" t="n"/>
      <c r="J23" s="111" t="n"/>
    </row>
    <row r="24" ht="20.1" customHeight="1">
      <c r="A24" s="112" t="n"/>
      <c r="B24" s="113" t="inlineStr">
        <is>
          <t>● 「정보통신설비 유지보수·관리기준」</t>
        </is>
      </c>
      <c r="C24" s="74" t="n"/>
      <c r="D24" s="74" t="n"/>
      <c r="E24" s="74" t="n"/>
      <c r="F24" s="74" t="n"/>
      <c r="G24" s="74" t="n"/>
      <c r="H24" s="74" t="n"/>
      <c r="I24" s="74" t="n"/>
      <c r="J24" s="111" t="n"/>
    </row>
    <row r="25" ht="20.1" customHeight="1">
      <c r="A25" s="114" t="n"/>
      <c r="B25" s="115" t="n"/>
      <c r="C25" s="74" t="n"/>
      <c r="D25" s="74" t="n"/>
      <c r="E25" s="74" t="n"/>
      <c r="F25" s="74" t="n"/>
      <c r="G25" s="74" t="n"/>
      <c r="H25" s="74" t="n"/>
      <c r="I25" s="74" t="n"/>
      <c r="J25" s="111" t="n"/>
    </row>
    <row r="26" ht="20.1" customHeight="1">
      <c r="A26" s="109" t="n"/>
      <c r="B26" s="110" t="inlineStr">
        <is>
          <t>2. 유지보수·관리 의무사항</t>
        </is>
      </c>
      <c r="C26" s="74" t="n"/>
      <c r="D26" s="74" t="n"/>
      <c r="E26" s="74" t="n"/>
      <c r="F26" s="74" t="n"/>
      <c r="G26" s="74" t="n"/>
      <c r="H26" s="74" t="n"/>
      <c r="I26" s="74" t="n"/>
      <c r="J26" s="111" t="n"/>
    </row>
    <row r="27">
      <c r="A27" s="116" t="n"/>
      <c r="B27" s="744" t="inlineStr">
        <is>
          <t>구분</t>
        </is>
      </c>
      <c r="C27" s="694" t="n"/>
      <c r="D27" s="745" t="inlineStr">
        <is>
          <t>유지보수·관리</t>
        </is>
      </c>
      <c r="E27" s="693" t="n"/>
      <c r="F27" s="693" t="n"/>
      <c r="G27" s="693" t="n"/>
      <c r="H27" s="693" t="n"/>
      <c r="I27" s="694" t="n"/>
      <c r="J27" s="117" t="n"/>
    </row>
    <row r="28">
      <c r="A28" s="118" t="n"/>
      <c r="B28" s="746" t="inlineStr">
        <is>
          <t>관리방식</t>
        </is>
      </c>
      <c r="C28" s="711" t="n"/>
      <c r="D28" s="747" t="inlineStr">
        <is>
          <t>관리주체는 건축물 규모별 선임기준에 맞춰 관리자 선임
※ 정보통신 공사업자에게 위탁 가능</t>
        </is>
      </c>
      <c r="E28" s="710" t="n"/>
      <c r="F28" s="710" t="n"/>
      <c r="G28" s="710" t="n"/>
      <c r="H28" s="710" t="n"/>
      <c r="I28" s="711" t="n"/>
      <c r="J28" s="119" t="n"/>
    </row>
    <row r="29">
      <c r="A29" s="118" t="n"/>
      <c r="B29" s="748" t="n"/>
      <c r="C29" s="749" t="n"/>
      <c r="D29" s="750" t="n"/>
      <c r="I29" s="749" t="n"/>
      <c r="J29" s="119" t="n"/>
    </row>
    <row r="30">
      <c r="A30" s="118" t="n"/>
      <c r="B30" s="751" t="n"/>
      <c r="C30" s="752" t="n"/>
      <c r="D30" s="753" t="n"/>
      <c r="E30" s="754" t="n"/>
      <c r="F30" s="754" t="n"/>
      <c r="G30" s="754" t="n"/>
      <c r="H30" s="754" t="n"/>
      <c r="I30" s="752" t="n"/>
      <c r="J30" s="119" t="n"/>
    </row>
    <row r="31">
      <c r="A31" s="118" t="n"/>
      <c r="B31" s="755" t="inlineStr">
        <is>
          <t>점검주기</t>
        </is>
      </c>
      <c r="C31" s="756" t="n"/>
      <c r="D31" s="757" t="inlineStr">
        <is>
          <t>반기별 1회 이상</t>
        </is>
      </c>
      <c r="E31" s="758" t="n"/>
      <c r="F31" s="758" t="n"/>
      <c r="G31" s="758" t="n"/>
      <c r="H31" s="758" t="n"/>
      <c r="I31" s="756" t="n"/>
      <c r="J31" s="120" t="n"/>
    </row>
    <row r="32">
      <c r="A32" s="118" t="n"/>
      <c r="B32" s="755" t="inlineStr">
        <is>
          <t>점검사항</t>
        </is>
      </c>
      <c r="C32" s="759" t="n"/>
      <c r="D32" s="760" t="inlineStr">
        <is>
          <t>1. 설비의 외관, 기능 및 안전상태를 매년 주기적으로 점검 실시</t>
        </is>
      </c>
      <c r="E32" s="761" t="n"/>
      <c r="F32" s="761" t="n"/>
      <c r="G32" s="761" t="n"/>
      <c r="H32" s="761" t="n"/>
      <c r="I32" s="759" t="n"/>
      <c r="J32" s="120" t="n"/>
    </row>
    <row r="33">
      <c r="A33" s="118" t="n"/>
      <c r="B33" s="751" t="n"/>
      <c r="C33" s="752" t="n"/>
      <c r="D33" s="762" t="inlineStr">
        <is>
          <t>2. 점검결과를 반기별 1회 이상 정보통신설비 유지보수 관리 점검표에 기록</t>
        </is>
      </c>
      <c r="E33" s="754" t="n"/>
      <c r="F33" s="754" t="n"/>
      <c r="G33" s="754" t="n"/>
      <c r="H33" s="754" t="n"/>
      <c r="I33" s="752" t="n"/>
      <c r="J33" s="120" t="n"/>
    </row>
    <row r="34">
      <c r="A34" s="118" t="n"/>
      <c r="B34" s="763" t="inlineStr">
        <is>
          <t>보존기간</t>
        </is>
      </c>
      <c r="C34" s="764" t="n"/>
      <c r="D34" s="765" t="inlineStr">
        <is>
          <t>해당 없음</t>
        </is>
      </c>
      <c r="E34" s="766" t="n"/>
      <c r="F34" s="766" t="n"/>
      <c r="G34" s="766" t="n"/>
      <c r="H34" s="766" t="n"/>
      <c r="I34" s="764" t="n"/>
      <c r="J34" s="120" t="n"/>
    </row>
    <row r="35" ht="34.5" customHeight="1" thickBot="1">
      <c r="A35" s="121" t="n"/>
      <c r="B35" s="122" t="n"/>
      <c r="C35" s="122" t="n"/>
      <c r="D35" s="122" t="n"/>
      <c r="E35" s="122" t="n"/>
      <c r="F35" s="122" t="n"/>
      <c r="G35" s="122" t="n"/>
      <c r="H35" s="122" t="n"/>
      <c r="I35" s="122" t="n"/>
      <c r="J35" s="123" t="n"/>
    </row>
    <row r="36" ht="30" customHeight="1">
      <c r="A36" s="522" t="n"/>
      <c r="B36" s="742" t="n"/>
      <c r="C36" s="742" t="n"/>
      <c r="D36" s="742" t="n"/>
      <c r="E36" s="742" t="n"/>
      <c r="F36" s="742" t="n"/>
      <c r="G36" s="742" t="n"/>
      <c r="H36" s="742" t="n"/>
      <c r="I36" s="742" t="n"/>
      <c r="J36" s="742" t="n"/>
    </row>
  </sheetData>
  <mergeCells count="40">
    <mergeCell ref="E12:F12"/>
    <mergeCell ref="D27:I27"/>
    <mergeCell ref="I6:J6"/>
    <mergeCell ref="D32:I32"/>
    <mergeCell ref="I15:J15"/>
    <mergeCell ref="I11:J11"/>
    <mergeCell ref="A3:C3"/>
    <mergeCell ref="E14:F14"/>
    <mergeCell ref="B31:C31"/>
    <mergeCell ref="B27:C27"/>
    <mergeCell ref="E15:G15"/>
    <mergeCell ref="E8:F8"/>
    <mergeCell ref="A19:J19"/>
    <mergeCell ref="E4:F4"/>
    <mergeCell ref="E10:F10"/>
    <mergeCell ref="I7:J7"/>
    <mergeCell ref="D28:I30"/>
    <mergeCell ref="E13:F13"/>
    <mergeCell ref="B32:C33"/>
    <mergeCell ref="E9:F9"/>
    <mergeCell ref="D33:I33"/>
    <mergeCell ref="A10:C10"/>
    <mergeCell ref="A1:J1"/>
    <mergeCell ref="I12:J12"/>
    <mergeCell ref="E6:F6"/>
    <mergeCell ref="A36:J36"/>
    <mergeCell ref="B34:C34"/>
    <mergeCell ref="E11:F11"/>
    <mergeCell ref="B28:C30"/>
    <mergeCell ref="I14:J14"/>
    <mergeCell ref="I8:J8"/>
    <mergeCell ref="I17:J17"/>
    <mergeCell ref="D34:I34"/>
    <mergeCell ref="I4:J4"/>
    <mergeCell ref="E7:F7"/>
    <mergeCell ref="I10:J10"/>
    <mergeCell ref="E5:J5"/>
    <mergeCell ref="D31:I31"/>
    <mergeCell ref="I13:J13"/>
    <mergeCell ref="I9:J9"/>
  </mergeCells>
  <printOptions horizontalCentered="1"/>
  <pageMargins left="0.2" right="0.2" top="0.7874015748031497" bottom="0.3937007874015748" header="0.3149606299212598" footer="0.4724409448818898"/>
  <pageSetup orientation="portrait" paperSize="9" scale="8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8"/>
    <outlinePr summaryBelow="1" summaryRight="1"/>
    <pageSetUpPr fitToPage="1"/>
  </sheetPr>
  <dimension ref="A1:J36"/>
  <sheetViews>
    <sheetView showGridLines="0" showZeros="0" zoomScaleNormal="100" zoomScaleSheetLayoutView="115" workbookViewId="0">
      <selection activeCell="A1" sqref="A1:J1"/>
    </sheetView>
  </sheetViews>
  <sheetFormatPr baseColWidth="8" defaultColWidth="0" defaultRowHeight="13.5" zeroHeight="1"/>
  <cols>
    <col width="3" customWidth="1" style="35" min="1" max="1"/>
    <col width="4.77734375" customWidth="1" style="35" min="2" max="2"/>
    <col width="12.77734375" customWidth="1" style="35" min="3" max="3"/>
    <col width="9.77734375" customWidth="1" style="35" min="4" max="4"/>
    <col width="8.77734375" customWidth="1" style="35" min="5" max="6"/>
    <col width="12.77734375" customWidth="1" style="35" min="7" max="7"/>
    <col width="15.77734375" customWidth="1" style="35" min="8" max="8"/>
    <col width="13.77734375" customWidth="1" style="35" min="9" max="9"/>
    <col width="2.77734375" customWidth="1" style="35" min="10" max="10"/>
    <col hidden="1" style="35" min="11" max="41"/>
    <col hidden="1" width="8.88671875" customWidth="1" style="35" min="42" max="16384"/>
  </cols>
  <sheetData>
    <row r="1" ht="35.25" customHeight="1">
      <c r="A1" s="460" t="inlineStr">
        <is>
          <t>유지관리자 선임(비상주) 위탁 수수료 산출 내역서</t>
        </is>
      </c>
    </row>
    <row r="2" ht="27.95" customHeight="1" thickBot="1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</row>
    <row r="3" ht="27.95" customHeight="1" thickBot="1">
      <c r="A3" s="553" t="inlineStr">
        <is>
          <t>3. 유지관리자 선임</t>
        </is>
      </c>
      <c r="B3" s="719" t="n"/>
      <c r="C3" s="720" t="n"/>
      <c r="D3" s="38" t="n"/>
      <c r="E3" s="38" t="n"/>
      <c r="F3" s="38" t="n"/>
      <c r="G3" s="38" t="n"/>
      <c r="H3" s="38" t="n"/>
      <c r="I3" s="38" t="n"/>
    </row>
    <row r="4" ht="27.95" customHeight="1">
      <c r="A4" s="334" t="inlineStr">
        <is>
          <t>NO</t>
        </is>
      </c>
      <c r="B4" s="145" t="n"/>
      <c r="C4" s="126" t="inlineStr">
        <is>
          <t>항 목</t>
        </is>
      </c>
      <c r="D4" s="127" t="inlineStr">
        <is>
          <t>단  위</t>
        </is>
      </c>
      <c r="E4" s="127" t="inlineStr">
        <is>
          <t>투입인원</t>
        </is>
      </c>
      <c r="F4" s="127" t="inlineStr">
        <is>
          <t>기간[월]</t>
        </is>
      </c>
      <c r="G4" s="128" t="inlineStr">
        <is>
          <t>노임단가</t>
        </is>
      </c>
      <c r="H4" s="128" t="inlineStr">
        <is>
          <t>금   액 (원)</t>
        </is>
      </c>
      <c r="I4" s="778" t="inlineStr">
        <is>
          <t>비 고</t>
        </is>
      </c>
      <c r="J4" s="722" t="n"/>
    </row>
    <row r="5" ht="27.95" customHeight="1">
      <c r="A5" s="335" t="inlineStr">
        <is>
          <t>1)</t>
        </is>
      </c>
      <c r="B5" s="129" t="n"/>
      <c r="C5" s="130" t="inlineStr">
        <is>
          <t>직접인건비</t>
        </is>
      </c>
      <c r="D5" s="131" t="n"/>
      <c r="E5" s="768" t="n"/>
      <c r="F5" s="693" t="n"/>
      <c r="G5" s="693" t="n"/>
      <c r="H5" s="693" t="n"/>
      <c r="I5" s="693" t="n"/>
      <c r="J5" s="724" t="n"/>
    </row>
    <row r="6" ht="27.95" customHeight="1">
      <c r="A6" s="336" t="n"/>
      <c r="B6" s="132" t="inlineStr">
        <is>
          <t>특급</t>
        </is>
      </c>
      <c r="C6" s="133" t="inlineStr">
        <is>
          <t>정보통신기술자</t>
        </is>
      </c>
      <c r="D6" s="134" t="inlineStr">
        <is>
          <t>인</t>
        </is>
      </c>
      <c r="E6" s="779" t="n"/>
      <c r="F6" s="779">
        <f>IF(E6=1,12,"")</f>
        <v/>
      </c>
      <c r="G6" s="730" t="n"/>
      <c r="H6" s="726">
        <f>IFERROR(E6*F6*G6,"")</f>
        <v/>
      </c>
      <c r="I6" s="727" t="n"/>
      <c r="J6" s="724" t="n"/>
    </row>
    <row r="7" ht="27.95" customHeight="1">
      <c r="A7" s="337" t="n"/>
      <c r="B7" s="135" t="inlineStr">
        <is>
          <t>고급</t>
        </is>
      </c>
      <c r="C7" s="136" t="inlineStr">
        <is>
          <t>정보통신기술자</t>
        </is>
      </c>
      <c r="D7" s="134" t="inlineStr">
        <is>
          <t>인</t>
        </is>
      </c>
      <c r="E7" s="779" t="n"/>
      <c r="F7" s="779">
        <f>IF(E7=1,12,"")</f>
        <v/>
      </c>
      <c r="G7" s="730" t="n"/>
      <c r="H7" s="726">
        <f>IFERROR(E7*F7*G7,"")</f>
        <v/>
      </c>
      <c r="I7" s="727" t="n"/>
      <c r="J7" s="724" t="n"/>
    </row>
    <row r="8" ht="27.95" customHeight="1">
      <c r="A8" s="337" t="n"/>
      <c r="B8" s="135" t="inlineStr">
        <is>
          <t>중급</t>
        </is>
      </c>
      <c r="C8" s="136" t="inlineStr">
        <is>
          <t>정보통신기술자</t>
        </is>
      </c>
      <c r="D8" s="134" t="inlineStr">
        <is>
          <t>인</t>
        </is>
      </c>
      <c r="E8" s="779" t="n"/>
      <c r="F8" s="779">
        <f>IF(E8=1,12,"")</f>
        <v/>
      </c>
      <c r="G8" s="730" t="n"/>
      <c r="H8" s="726">
        <f>IFERROR(E8*F8*G8,"")</f>
        <v/>
      </c>
      <c r="I8" s="727" t="n"/>
      <c r="J8" s="724" t="n"/>
    </row>
    <row r="9" ht="27.95" customHeight="1">
      <c r="A9" s="337" t="n"/>
      <c r="B9" s="135" t="inlineStr">
        <is>
          <t>초급</t>
        </is>
      </c>
      <c r="C9" s="136" t="inlineStr">
        <is>
          <t>정보통신기술자</t>
        </is>
      </c>
      <c r="D9" s="134" t="inlineStr">
        <is>
          <t>인</t>
        </is>
      </c>
      <c r="E9" s="779" t="n"/>
      <c r="F9" s="779">
        <f>IF(E9=1,12,"")</f>
        <v/>
      </c>
      <c r="G9" s="730" t="n"/>
      <c r="H9" s="726">
        <f>IFERROR(E9*F9*G9,"")</f>
        <v/>
      </c>
      <c r="I9" s="727" t="n"/>
      <c r="J9" s="724" t="n"/>
    </row>
    <row r="10" ht="27.95" customHeight="1">
      <c r="A10" s="780" t="inlineStr">
        <is>
          <t>직접인건비 합계</t>
        </is>
      </c>
      <c r="B10" s="693" t="n"/>
      <c r="C10" s="694" t="n"/>
      <c r="D10" s="134" t="n"/>
      <c r="E10" s="771" t="n"/>
      <c r="F10" s="693" t="n"/>
      <c r="G10" s="772" t="n"/>
      <c r="H10" s="773" t="n"/>
      <c r="I10" s="727" t="n"/>
      <c r="J10" s="724" t="n"/>
    </row>
    <row r="11" ht="27.95" customHeight="1">
      <c r="A11" s="335" t="inlineStr">
        <is>
          <t>2)</t>
        </is>
      </c>
      <c r="B11" s="129" t="n"/>
      <c r="C11" s="130" t="inlineStr">
        <is>
          <t>직접경비</t>
        </is>
      </c>
      <c r="D11" s="131" t="n"/>
      <c r="E11" s="461" t="inlineStr">
        <is>
          <t xml:space="preserve"> 직접인건비의</t>
        </is>
      </c>
      <c r="F11" s="693" t="n"/>
      <c r="G11" s="731" t="n">
        <v>0</v>
      </c>
      <c r="H11" s="732" t="n"/>
      <c r="I11" s="733" t="n"/>
      <c r="J11" s="724" t="n"/>
    </row>
    <row r="12" ht="27.95" customHeight="1">
      <c r="A12" s="335" t="inlineStr">
        <is>
          <t>3)</t>
        </is>
      </c>
      <c r="B12" s="129" t="n"/>
      <c r="C12" s="130" t="inlineStr">
        <is>
          <t>제 경 비</t>
        </is>
      </c>
      <c r="D12" s="131" t="n"/>
      <c r="E12" s="461" t="inlineStr">
        <is>
          <t xml:space="preserve"> 직접인건비의</t>
        </is>
      </c>
      <c r="F12" s="693" t="n"/>
      <c r="G12" s="731" t="n">
        <v>0</v>
      </c>
      <c r="H12" s="732" t="n"/>
      <c r="I12" s="734" t="n"/>
      <c r="J12" s="724" t="n"/>
    </row>
    <row r="13" ht="27.95" customHeight="1">
      <c r="A13" s="335" t="inlineStr">
        <is>
          <t>4)</t>
        </is>
      </c>
      <c r="B13" s="129" t="n"/>
      <c r="C13" s="130" t="inlineStr">
        <is>
          <t>기 술 료</t>
        </is>
      </c>
      <c r="D13" s="131" t="n"/>
      <c r="E13" s="461" t="inlineStr">
        <is>
          <t xml:space="preserve"> 직접인건비+제경비의</t>
        </is>
      </c>
      <c r="F13" s="693" t="n"/>
      <c r="G13" s="731" t="n">
        <v>0</v>
      </c>
      <c r="H13" s="732" t="n"/>
      <c r="I13" s="734" t="n"/>
      <c r="J13" s="724" t="n"/>
    </row>
    <row r="14" ht="27.95" customHeight="1">
      <c r="A14" s="338" t="inlineStr">
        <is>
          <t>5)</t>
        </is>
      </c>
      <c r="B14" s="137" t="n"/>
      <c r="C14" s="138" t="inlineStr">
        <is>
          <t>소  계</t>
        </is>
      </c>
      <c r="D14" s="131" t="n"/>
      <c r="E14" s="461" t="inlineStr">
        <is>
          <t>(1+2+3+4)</t>
        </is>
      </c>
      <c r="F14" s="693" t="n"/>
      <c r="G14" s="731" t="n"/>
      <c r="H14" s="732" t="n"/>
      <c r="I14" s="736" t="n"/>
      <c r="J14" s="724" t="n"/>
    </row>
    <row r="15" ht="27.95" customHeight="1">
      <c r="A15" s="338" t="inlineStr">
        <is>
          <t>6)</t>
        </is>
      </c>
      <c r="B15" s="137" t="n"/>
      <c r="C15" s="139" t="inlineStr">
        <is>
          <t>조정금액</t>
        </is>
      </c>
      <c r="D15" s="131" t="n"/>
      <c r="E15" s="737" t="n"/>
      <c r="F15" s="693" t="n"/>
      <c r="G15" s="694" t="n"/>
      <c r="H15" s="774" t="n"/>
      <c r="I15" s="736" t="n"/>
      <c r="J15" s="724" t="n"/>
    </row>
    <row r="16" ht="7.5" customHeight="1">
      <c r="A16" s="332" t="n"/>
      <c r="B16" s="60" t="n"/>
      <c r="C16" s="61" t="n"/>
      <c r="D16" s="62" t="n"/>
      <c r="E16" s="52" t="n"/>
      <c r="F16" s="52" t="n"/>
      <c r="G16" s="52" t="n"/>
      <c r="H16" s="52" t="n"/>
      <c r="I16" s="52" t="n"/>
      <c r="J16" s="324" t="n"/>
    </row>
    <row r="17" ht="27.95" customFormat="1" customHeight="1" s="36" thickBot="1">
      <c r="A17" s="339" t="inlineStr">
        <is>
          <t>7)</t>
        </is>
      </c>
      <c r="B17" s="140" t="n"/>
      <c r="C17" s="141" t="inlineStr">
        <is>
          <t>합 계 금 액</t>
        </is>
      </c>
      <c r="D17" s="142" t="n"/>
      <c r="E17" s="142" t="n"/>
      <c r="F17" s="142" t="n"/>
      <c r="G17" s="143" t="n"/>
      <c r="H17" s="781" t="n"/>
      <c r="I17" s="782" t="n"/>
      <c r="J17" s="740" t="n"/>
    </row>
    <row r="18" ht="15" customHeight="1" thickBo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</row>
    <row r="19" ht="24" customHeight="1">
      <c r="A19" s="783" t="inlineStr">
        <is>
          <t>[견적 산출 조건]</t>
        </is>
      </c>
      <c r="B19" s="742" t="n"/>
      <c r="C19" s="742" t="n"/>
      <c r="D19" s="742" t="n"/>
      <c r="E19" s="742" t="n"/>
      <c r="F19" s="742" t="n"/>
      <c r="G19" s="742" t="n"/>
      <c r="H19" s="742" t="n"/>
      <c r="I19" s="742" t="n"/>
      <c r="J19" s="743" t="n"/>
    </row>
    <row r="20" ht="20.1" customHeight="1">
      <c r="A20" s="109" t="n"/>
      <c r="B20" s="110" t="inlineStr">
        <is>
          <t>1. 관련 근거</t>
        </is>
      </c>
      <c r="C20" s="74" t="n"/>
      <c r="D20" s="74" t="n"/>
      <c r="E20" s="74" t="n"/>
      <c r="F20" s="74" t="n"/>
      <c r="G20" s="74" t="n"/>
      <c r="H20" s="74" t="n"/>
      <c r="I20" s="74" t="n"/>
      <c r="J20" s="111" t="n"/>
    </row>
    <row r="21" ht="20.1" customHeight="1">
      <c r="A21" s="112" t="n"/>
      <c r="B21" s="113" t="inlineStr">
        <is>
          <t>● 「정보통신공사업법」 제37조의 2~4, 제78조</t>
        </is>
      </c>
      <c r="C21" s="74" t="n"/>
      <c r="D21" s="74" t="n"/>
      <c r="E21" s="74" t="n"/>
      <c r="F21" s="74" t="n"/>
      <c r="G21" s="74" t="n"/>
      <c r="H21" s="74" t="n"/>
      <c r="I21" s="74" t="n"/>
      <c r="J21" s="111" t="n"/>
    </row>
    <row r="22" ht="20.1" customHeight="1">
      <c r="A22" s="112" t="n"/>
      <c r="B22" s="113" t="inlineStr">
        <is>
          <t>● 「정보통신공사업법 시행령」 제37조의 2~3, 제58조</t>
        </is>
      </c>
      <c r="C22" s="74" t="n"/>
      <c r="D22" s="74" t="n"/>
      <c r="E22" s="74" t="n"/>
      <c r="F22" s="74" t="n"/>
      <c r="G22" s="74" t="n"/>
      <c r="H22" s="74" t="n"/>
      <c r="I22" s="74" t="n"/>
      <c r="J22" s="111" t="n"/>
    </row>
    <row r="23" ht="20.1" customHeight="1">
      <c r="A23" s="112" t="n"/>
      <c r="B23" s="113" t="inlineStr">
        <is>
          <t>● 「정보통신공사업법 시행규칙」 제8조 ~ 제11조</t>
        </is>
      </c>
      <c r="C23" s="74" t="n"/>
      <c r="D23" s="74" t="n"/>
      <c r="E23" s="74" t="n"/>
      <c r="F23" s="74" t="n"/>
      <c r="G23" s="74" t="n"/>
      <c r="H23" s="74" t="n"/>
      <c r="I23" s="74" t="n"/>
      <c r="J23" s="111" t="n"/>
    </row>
    <row r="24" ht="20.1" customHeight="1">
      <c r="A24" s="112" t="n"/>
      <c r="B24" s="113" t="inlineStr">
        <is>
          <t>● 「정보통신설비 유지보수·관리기준」</t>
        </is>
      </c>
      <c r="C24" s="74" t="n"/>
      <c r="D24" s="74" t="n"/>
      <c r="E24" s="74" t="n"/>
      <c r="F24" s="74" t="n"/>
      <c r="G24" s="74" t="n"/>
      <c r="H24" s="74" t="n"/>
      <c r="I24" s="74" t="n"/>
      <c r="J24" s="111" t="n"/>
    </row>
    <row r="25" ht="20.1" customHeight="1">
      <c r="A25" s="114" t="n"/>
      <c r="B25" s="115" t="n"/>
      <c r="C25" s="74" t="n"/>
      <c r="D25" s="74" t="n"/>
      <c r="E25" s="74" t="n"/>
      <c r="F25" s="74" t="n"/>
      <c r="G25" s="74" t="n"/>
      <c r="H25" s="74" t="n"/>
      <c r="I25" s="74" t="n"/>
      <c r="J25" s="111" t="n"/>
    </row>
    <row r="26" ht="20.1" customHeight="1">
      <c r="A26" s="109" t="n"/>
      <c r="B26" s="110" t="inlineStr">
        <is>
          <t>2.유지보수·관리자 선임기준</t>
        </is>
      </c>
      <c r="C26" s="74" t="n"/>
      <c r="D26" s="74" t="n"/>
      <c r="E26" s="74" t="n"/>
      <c r="F26" s="74" t="n"/>
      <c r="G26" s="74" t="n"/>
      <c r="H26" s="74" t="n"/>
      <c r="I26" s="74" t="n"/>
      <c r="J26" s="111" t="n"/>
    </row>
    <row r="27">
      <c r="A27" s="116" t="n"/>
      <c r="B27" s="784" t="inlineStr">
        <is>
          <t>유지보수·관리 및 성능점검 대상</t>
        </is>
      </c>
      <c r="C27" s="693" t="n"/>
      <c r="D27" s="693" t="n"/>
      <c r="E27" s="694" t="n"/>
      <c r="F27" s="203" t="inlineStr">
        <is>
          <t>선임자격</t>
        </is>
      </c>
      <c r="G27" s="694" t="n"/>
      <c r="H27" s="203" t="inlineStr">
        <is>
          <t>선임인원</t>
        </is>
      </c>
      <c r="I27" s="203" t="inlineStr">
        <is>
          <t>선임 유예 기한</t>
        </is>
      </c>
      <c r="J27" s="117" t="n"/>
    </row>
    <row r="28">
      <c r="A28" s="118" t="n"/>
      <c r="B28" s="785" t="inlineStr">
        <is>
          <t>연면적 6만[㎡] 이상 건축물</t>
        </is>
      </c>
      <c r="C28" s="754" t="n"/>
      <c r="D28" s="754" t="n"/>
      <c r="E28" s="752" t="n"/>
      <c r="F28" s="146" t="inlineStr">
        <is>
          <t>특급기술자</t>
        </is>
      </c>
      <c r="G28" s="752" t="n"/>
      <c r="H28" s="146" t="inlineStr">
        <is>
          <t>1명</t>
        </is>
      </c>
      <c r="I28" s="786" t="n">
        <v>46040</v>
      </c>
      <c r="J28" s="119" t="n"/>
    </row>
    <row r="29">
      <c r="A29" s="118" t="n"/>
      <c r="B29" s="787" t="inlineStr">
        <is>
          <t>연면적 3만[㎡] 이상 ~ 6만[㎡] 미만 건축물</t>
        </is>
      </c>
      <c r="C29" s="758" t="n"/>
      <c r="D29" s="758" t="n"/>
      <c r="E29" s="756" t="n"/>
      <c r="F29" s="147" t="inlineStr">
        <is>
          <t>고급기술자 이상</t>
        </is>
      </c>
      <c r="G29" s="756" t="n"/>
      <c r="H29" s="147" t="inlineStr">
        <is>
          <t>1명</t>
        </is>
      </c>
      <c r="I29" s="788" t="n">
        <v>46040</v>
      </c>
      <c r="J29" s="119" t="n"/>
    </row>
    <row r="30">
      <c r="A30" s="118" t="n"/>
      <c r="B30" s="787" t="inlineStr">
        <is>
          <t>연면적 1만5천[㎡] 이상 ~ 3만[㎡] 미만 건축물</t>
        </is>
      </c>
      <c r="C30" s="758" t="n"/>
      <c r="D30" s="758" t="n"/>
      <c r="E30" s="756" t="n"/>
      <c r="F30" s="147" t="inlineStr">
        <is>
          <t>중급기술자 이상</t>
        </is>
      </c>
      <c r="G30" s="756" t="n"/>
      <c r="H30" s="147" t="inlineStr">
        <is>
          <t>1명</t>
        </is>
      </c>
      <c r="I30" s="788" t="n">
        <v>46252</v>
      </c>
      <c r="J30" s="119" t="n"/>
    </row>
    <row r="31">
      <c r="A31" s="118" t="n"/>
      <c r="B31" s="787" t="inlineStr">
        <is>
          <t>연면적 1만[㎡] 이상 ~ 1만5천[㎡] 미만 건축물</t>
        </is>
      </c>
      <c r="C31" s="758" t="n"/>
      <c r="D31" s="758" t="n"/>
      <c r="E31" s="756" t="n"/>
      <c r="F31" s="147" t="inlineStr">
        <is>
          <t>초급기술자 이상</t>
        </is>
      </c>
      <c r="G31" s="756" t="n"/>
      <c r="H31" s="147" t="inlineStr">
        <is>
          <t>1명</t>
        </is>
      </c>
      <c r="I31" s="788" t="n">
        <v>46252</v>
      </c>
      <c r="J31" s="120" t="n"/>
    </row>
    <row r="32">
      <c r="A32" s="118" t="n"/>
      <c r="B32" s="789" t="inlineStr">
        <is>
          <t>연면적 5천[㎡] 이상 ~ 1만[㎡] 미만 건축물</t>
        </is>
      </c>
      <c r="C32" s="766" t="n"/>
      <c r="D32" s="766" t="n"/>
      <c r="E32" s="764" t="n"/>
      <c r="F32" s="204" t="inlineStr">
        <is>
          <t>초급기술자 이상</t>
        </is>
      </c>
      <c r="G32" s="764" t="n"/>
      <c r="H32" s="204" t="inlineStr">
        <is>
          <t>1명</t>
        </is>
      </c>
      <c r="I32" s="790" t="n">
        <v>46617</v>
      </c>
      <c r="J32" s="120" t="n"/>
    </row>
    <row r="33">
      <c r="A33" s="118" t="n"/>
      <c r="B33" s="148" t="inlineStr">
        <is>
          <t>※ 연면적 5천 제곱 미터 이상의 건축물</t>
        </is>
      </c>
      <c r="C33" s="108" t="n"/>
      <c r="D33" s="108" t="n"/>
      <c r="E33" s="108" t="n"/>
      <c r="F33" s="108" t="n"/>
      <c r="G33" s="108" t="n"/>
      <c r="H33" s="108" t="n"/>
      <c r="I33" s="108" t="n"/>
      <c r="J33" s="120" t="n"/>
    </row>
    <row r="34">
      <c r="A34" s="118" t="n"/>
      <c r="B34" s="148" t="inlineStr">
        <is>
          <t xml:space="preserve">   [공동주택 및 학교시설(초,중,고등학교 및 특수학교) 제외</t>
        </is>
      </c>
      <c r="C34" s="108" t="n"/>
      <c r="D34" s="108" t="n"/>
      <c r="E34" s="108" t="n"/>
      <c r="F34" s="108" t="n"/>
      <c r="G34" s="108" t="n"/>
      <c r="H34" s="108" t="n"/>
      <c r="I34" s="108" t="n"/>
      <c r="J34" s="120" t="n"/>
    </row>
    <row r="35" ht="34.5" customHeight="1" thickBot="1">
      <c r="A35" s="121" t="n"/>
      <c r="B35" s="122" t="n"/>
      <c r="C35" s="122" t="n"/>
      <c r="D35" s="122" t="n"/>
      <c r="E35" s="122" t="n"/>
      <c r="F35" s="122" t="n"/>
      <c r="G35" s="122" t="n"/>
      <c r="H35" s="122" t="n"/>
      <c r="I35" s="122" t="n"/>
      <c r="J35" s="123" t="n"/>
    </row>
    <row r="36" ht="30" customHeight="1">
      <c r="A36" s="522" t="n"/>
      <c r="B36" s="742" t="n"/>
      <c r="C36" s="742" t="n"/>
      <c r="D36" s="742" t="n"/>
      <c r="E36" s="742" t="n"/>
      <c r="F36" s="742" t="n"/>
      <c r="G36" s="742" t="n"/>
      <c r="H36" s="742" t="n"/>
      <c r="I36" s="742" t="n"/>
      <c r="J36" s="742" t="n"/>
    </row>
  </sheetData>
  <mergeCells count="36">
    <mergeCell ref="E12:F12"/>
    <mergeCell ref="I6:J6"/>
    <mergeCell ref="F29:G29"/>
    <mergeCell ref="I15:J15"/>
    <mergeCell ref="B30:E30"/>
    <mergeCell ref="I11:J11"/>
    <mergeCell ref="A3:C3"/>
    <mergeCell ref="E14:F14"/>
    <mergeCell ref="E15:G15"/>
    <mergeCell ref="A19:J19"/>
    <mergeCell ref="B32:E32"/>
    <mergeCell ref="F30:G30"/>
    <mergeCell ref="E10:F10"/>
    <mergeCell ref="I7:J7"/>
    <mergeCell ref="E13:F13"/>
    <mergeCell ref="F32:G32"/>
    <mergeCell ref="A10:C10"/>
    <mergeCell ref="B31:E31"/>
    <mergeCell ref="A1:J1"/>
    <mergeCell ref="B27:E27"/>
    <mergeCell ref="I12:J12"/>
    <mergeCell ref="A36:J36"/>
    <mergeCell ref="E11:F11"/>
    <mergeCell ref="F31:G31"/>
    <mergeCell ref="F28:G28"/>
    <mergeCell ref="I14:J14"/>
    <mergeCell ref="I8:J8"/>
    <mergeCell ref="F27:G27"/>
    <mergeCell ref="I17:J17"/>
    <mergeCell ref="I4:J4"/>
    <mergeCell ref="I10:J10"/>
    <mergeCell ref="E5:J5"/>
    <mergeCell ref="B29:E29"/>
    <mergeCell ref="I13:J13"/>
    <mergeCell ref="B28:E28"/>
    <mergeCell ref="I9:J9"/>
  </mergeCells>
  <printOptions horizontalCentered="1"/>
  <pageMargins left="0.2" right="0.2" top="0.7874015748031497" bottom="0.3937007874015748" header="0.3149606299212598" footer="0.4724409448818898"/>
  <pageSetup orientation="portrait" paperSize="9" scale="8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8"/>
    <outlinePr summaryBelow="1" summaryRight="1"/>
    <pageSetUpPr fitToPage="1"/>
  </sheetPr>
  <dimension ref="A1:Z40"/>
  <sheetViews>
    <sheetView showGridLines="0" showZeros="0" view="pageBreakPreview" zoomScale="85" zoomScaleNormal="85" zoomScaleSheetLayoutView="85" workbookViewId="0">
      <selection activeCell="A1" sqref="A1:Y1"/>
    </sheetView>
  </sheetViews>
  <sheetFormatPr baseColWidth="8" defaultColWidth="3.77734375" defaultRowHeight="20.1" customHeight="1"/>
  <cols>
    <col width="4" customWidth="1" style="35" min="1" max="11"/>
    <col width="2.77734375" customWidth="1" style="35" min="12" max="14"/>
    <col width="4" customWidth="1" style="35" min="15" max="25"/>
    <col width="3.77734375" customWidth="1" style="35" min="26" max="16384"/>
  </cols>
  <sheetData>
    <row r="1" ht="35.1" customHeight="1">
      <c r="A1" s="791" t="inlineStr">
        <is>
          <t>정보통신설비 유지보수·관리 업무처리 절차</t>
        </is>
      </c>
      <c r="B1" s="742" t="n"/>
      <c r="C1" s="742" t="n"/>
      <c r="D1" s="742" t="n"/>
      <c r="E1" s="742" t="n"/>
      <c r="F1" s="742" t="n"/>
      <c r="G1" s="742" t="n"/>
      <c r="H1" s="742" t="n"/>
      <c r="I1" s="742" t="n"/>
      <c r="J1" s="742" t="n"/>
      <c r="K1" s="742" t="n"/>
      <c r="L1" s="742" t="n"/>
      <c r="M1" s="742" t="n"/>
      <c r="N1" s="742" t="n"/>
      <c r="O1" s="742" t="n"/>
      <c r="P1" s="742" t="n"/>
      <c r="Q1" s="742" t="n"/>
      <c r="R1" s="742" t="n"/>
      <c r="S1" s="742" t="n"/>
      <c r="T1" s="742" t="n"/>
      <c r="U1" s="742" t="n"/>
      <c r="V1" s="742" t="n"/>
      <c r="W1" s="742" t="n"/>
      <c r="X1" s="742" t="n"/>
      <c r="Y1" s="743" t="n"/>
    </row>
    <row r="2" ht="21" customFormat="1" customHeight="1" s="158">
      <c r="A2" s="181" t="n"/>
      <c r="B2" s="633" t="n"/>
      <c r="C2" s="633" t="n"/>
      <c r="D2" s="633" t="n"/>
      <c r="E2" s="633" t="n"/>
      <c r="F2" s="633" t="n"/>
      <c r="G2" s="633" t="n"/>
      <c r="H2" s="633" t="n"/>
      <c r="Y2" s="182" t="n"/>
    </row>
    <row r="3" ht="21" customFormat="1" customHeight="1" s="158" thickBot="1">
      <c r="A3" s="181" t="n"/>
      <c r="B3" s="633" t="n"/>
      <c r="C3" s="633" t="n"/>
      <c r="D3" s="633" t="n"/>
      <c r="E3" s="633" t="n"/>
      <c r="F3" s="633" t="n"/>
      <c r="G3" s="633" t="n"/>
      <c r="H3" s="633" t="n"/>
      <c r="Y3" s="182" t="n"/>
    </row>
    <row r="4" ht="21" customFormat="1" customHeight="1" s="158">
      <c r="A4" s="183" t="n"/>
      <c r="B4" s="792" t="inlineStr">
        <is>
          <t>정보통신설비 유지보수관리</t>
        </is>
      </c>
      <c r="C4" s="793" t="n"/>
      <c r="D4" s="793" t="n"/>
      <c r="E4" s="793" t="n"/>
      <c r="F4" s="793" t="n"/>
      <c r="G4" s="793" t="n"/>
      <c r="H4" s="793" t="n"/>
      <c r="I4" s="793" t="n"/>
      <c r="J4" s="793" t="n"/>
      <c r="K4" s="794" t="n"/>
      <c r="O4" s="792" t="inlineStr">
        <is>
          <t>정보통신설비 성능점검</t>
        </is>
      </c>
      <c r="P4" s="793" t="n"/>
      <c r="Q4" s="793" t="n"/>
      <c r="R4" s="793" t="n"/>
      <c r="S4" s="793" t="n"/>
      <c r="T4" s="793" t="n"/>
      <c r="U4" s="793" t="n"/>
      <c r="V4" s="793" t="n"/>
      <c r="W4" s="793" t="n"/>
      <c r="X4" s="794" t="n"/>
      <c r="Y4" s="182" t="n"/>
    </row>
    <row r="5" ht="21" customFormat="1" customHeight="1" s="158" thickBot="1">
      <c r="A5" s="181" t="n"/>
      <c r="B5" s="795" t="n"/>
      <c r="C5" s="796" t="n"/>
      <c r="D5" s="796" t="n"/>
      <c r="E5" s="796" t="n"/>
      <c r="F5" s="796" t="n"/>
      <c r="G5" s="796" t="n"/>
      <c r="H5" s="796" t="n"/>
      <c r="I5" s="796" t="n"/>
      <c r="J5" s="796" t="n"/>
      <c r="K5" s="797" t="n"/>
      <c r="O5" s="795" t="n"/>
      <c r="P5" s="796" t="n"/>
      <c r="Q5" s="796" t="n"/>
      <c r="R5" s="796" t="n"/>
      <c r="S5" s="796" t="n"/>
      <c r="T5" s="796" t="n"/>
      <c r="U5" s="796" t="n"/>
      <c r="V5" s="796" t="n"/>
      <c r="W5" s="796" t="n"/>
      <c r="X5" s="797" t="n"/>
      <c r="Y5" s="182" t="n"/>
    </row>
    <row r="6" ht="21" customFormat="1" customHeight="1" s="158" thickBot="1">
      <c r="A6" s="184" t="n"/>
      <c r="B6" s="38" t="n"/>
      <c r="C6" s="153" t="n"/>
      <c r="D6" s="38" t="n"/>
      <c r="E6" s="38" t="n"/>
      <c r="F6" s="38" t="n"/>
      <c r="G6" s="38" t="n"/>
      <c r="H6" s="38" t="n"/>
      <c r="I6" s="38" t="n"/>
      <c r="Y6" s="182" t="n"/>
    </row>
    <row r="7" ht="21" customFormat="1" customHeight="1" s="158">
      <c r="A7" s="183" t="n"/>
      <c r="B7" s="38" t="n"/>
      <c r="C7" s="633" t="n"/>
      <c r="D7" s="798" t="n"/>
      <c r="E7" s="798" t="n"/>
      <c r="F7" s="799" t="n"/>
      <c r="G7" s="800" t="inlineStr">
        <is>
          <t>관리주체
[정보통신설비 소유자 또는 관리자]</t>
        </is>
      </c>
      <c r="H7" s="793" t="n"/>
      <c r="I7" s="793" t="n"/>
      <c r="J7" s="793" t="n"/>
      <c r="K7" s="793" t="n"/>
      <c r="L7" s="793" t="n"/>
      <c r="M7" s="793" t="n"/>
      <c r="N7" s="793" t="n"/>
      <c r="O7" s="793" t="n"/>
      <c r="P7" s="793" t="n"/>
      <c r="Q7" s="793" t="n"/>
      <c r="R7" s="793" t="n"/>
      <c r="S7" s="794" t="n"/>
      <c r="T7" s="801" t="n"/>
      <c r="U7" s="159" t="n"/>
      <c r="V7" s="159" t="n"/>
      <c r="W7" s="159" t="n"/>
      <c r="X7" s="159" t="n"/>
      <c r="Y7" s="185" t="n"/>
      <c r="Z7" s="159" t="n"/>
    </row>
    <row r="8" ht="21" customFormat="1" customHeight="1" s="158">
      <c r="A8" s="116" t="n"/>
      <c r="B8" s="107" t="n"/>
      <c r="C8" s="633" t="n"/>
      <c r="D8" s="798" t="n"/>
      <c r="E8" s="798" t="n"/>
      <c r="F8" s="799" t="n"/>
      <c r="G8" s="802" t="n"/>
      <c r="S8" s="659" t="n"/>
      <c r="T8" s="801" t="n"/>
      <c r="U8" s="159" t="n"/>
      <c r="V8" s="159" t="n"/>
      <c r="W8" s="159" t="n"/>
      <c r="X8" s="159" t="n"/>
      <c r="Y8" s="185" t="n"/>
      <c r="Z8" s="159" t="n"/>
    </row>
    <row r="9" ht="21" customFormat="1" customHeight="1" s="158" thickBot="1">
      <c r="A9" s="116" t="n"/>
      <c r="B9" s="107" t="n"/>
      <c r="C9" s="633" t="n"/>
      <c r="D9" s="798" t="n"/>
      <c r="E9" s="798" t="n"/>
      <c r="F9" s="799" t="n"/>
      <c r="G9" s="795" t="n"/>
      <c r="H9" s="796" t="n"/>
      <c r="I9" s="796" t="n"/>
      <c r="J9" s="796" t="n"/>
      <c r="K9" s="796" t="n"/>
      <c r="L9" s="796" t="n"/>
      <c r="M9" s="796" t="n"/>
      <c r="N9" s="796" t="n"/>
      <c r="O9" s="796" t="n"/>
      <c r="P9" s="796" t="n"/>
      <c r="Q9" s="796" t="n"/>
      <c r="R9" s="796" t="n"/>
      <c r="S9" s="797" t="n"/>
      <c r="T9" s="801" t="n"/>
      <c r="U9" s="159" t="n"/>
      <c r="V9" s="159" t="n"/>
      <c r="W9" s="159" t="n"/>
      <c r="X9" s="159" t="n"/>
      <c r="Y9" s="185" t="n"/>
      <c r="Z9" s="159" t="n"/>
    </row>
    <row r="10" ht="21" customFormat="1" customHeight="1" s="158">
      <c r="A10" s="116" t="n"/>
      <c r="B10" s="107" t="n"/>
      <c r="C10" s="633" t="n"/>
      <c r="D10" s="798" t="n"/>
      <c r="E10" s="798" t="n"/>
      <c r="F10" s="803" t="n"/>
      <c r="G10" s="799" t="n"/>
      <c r="H10" s="799" t="n"/>
      <c r="I10" s="799" t="n"/>
      <c r="R10" s="159" t="n"/>
      <c r="S10" s="200" t="n"/>
      <c r="T10" s="159" t="n"/>
      <c r="U10" s="159" t="n"/>
      <c r="V10" s="159" t="n"/>
      <c r="W10" s="159" t="n"/>
      <c r="X10" s="159" t="n"/>
      <c r="Y10" s="185" t="n"/>
      <c r="Z10" s="159" t="n"/>
    </row>
    <row r="11" ht="21" customFormat="1" customHeight="1" s="158" thickBot="1">
      <c r="A11" s="116" t="n"/>
      <c r="B11" s="107" t="n"/>
      <c r="C11" s="633" t="n"/>
      <c r="D11" s="804" t="n"/>
      <c r="E11" s="804" t="n"/>
      <c r="F11" s="805" t="n"/>
      <c r="G11" s="806" t="n"/>
      <c r="H11" s="799" t="n"/>
      <c r="I11" s="799" t="n"/>
      <c r="R11" s="159" t="n"/>
      <c r="S11" s="166" t="n"/>
      <c r="T11" s="159" t="n"/>
      <c r="U11" s="159" t="n"/>
      <c r="V11" s="159" t="n"/>
      <c r="W11" s="159" t="n"/>
      <c r="X11" s="159" t="n"/>
      <c r="Y11" s="185" t="n"/>
      <c r="Z11" s="159" t="n"/>
    </row>
    <row r="12" ht="21" customFormat="1" customHeight="1" s="158">
      <c r="A12" s="184" t="n"/>
      <c r="B12" s="807" t="inlineStr">
        <is>
          <t>유지보수관리 자료 구비</t>
        </is>
      </c>
      <c r="C12" s="793" t="n"/>
      <c r="D12" s="793" t="n"/>
      <c r="E12" s="793" t="n"/>
      <c r="F12" s="793" t="n"/>
      <c r="G12" s="793" t="n"/>
      <c r="H12" s="793" t="n"/>
      <c r="I12" s="793" t="n"/>
      <c r="J12" s="793" t="n"/>
      <c r="K12" s="794" t="n"/>
      <c r="O12" s="807" t="inlineStr">
        <is>
          <t>성능점검 자료 구비</t>
        </is>
      </c>
      <c r="P12" s="793" t="n"/>
      <c r="Q12" s="793" t="n"/>
      <c r="R12" s="793" t="n"/>
      <c r="S12" s="793" t="n"/>
      <c r="T12" s="793" t="n"/>
      <c r="U12" s="793" t="n"/>
      <c r="V12" s="793" t="n"/>
      <c r="W12" s="793" t="n"/>
      <c r="X12" s="794" t="n"/>
      <c r="Y12" s="185" t="n"/>
      <c r="Z12" s="159" t="n"/>
    </row>
    <row r="13" ht="21" customFormat="1" customHeight="1" s="158" thickBot="1">
      <c r="A13" s="184" t="n"/>
      <c r="B13" s="808" t="inlineStr">
        <is>
          <t>(정보통신설비 유지보수관리기준 제6조)</t>
        </is>
      </c>
      <c r="C13" s="796" t="n"/>
      <c r="D13" s="796" t="n"/>
      <c r="E13" s="796" t="n"/>
      <c r="F13" s="796" t="n"/>
      <c r="G13" s="796" t="n"/>
      <c r="H13" s="796" t="n"/>
      <c r="I13" s="796" t="n"/>
      <c r="J13" s="796" t="n"/>
      <c r="K13" s="797" t="n"/>
      <c r="O13" s="808" t="inlineStr">
        <is>
          <t>(정보통신설비 유지보수관리기준 제6조)</t>
        </is>
      </c>
      <c r="P13" s="796" t="n"/>
      <c r="Q13" s="796" t="n"/>
      <c r="R13" s="796" t="n"/>
      <c r="S13" s="796" t="n"/>
      <c r="T13" s="796" t="n"/>
      <c r="U13" s="796" t="n"/>
      <c r="V13" s="796" t="n"/>
      <c r="W13" s="796" t="n"/>
      <c r="X13" s="797" t="n"/>
      <c r="Y13" s="185" t="n"/>
      <c r="Z13" s="159" t="n"/>
    </row>
    <row r="14" ht="21" customFormat="1" customHeight="1" s="158" thickBot="1">
      <c r="A14" s="184" t="n"/>
      <c r="B14" s="38" t="n"/>
      <c r="C14" s="153" t="n"/>
      <c r="D14" s="38" t="n"/>
      <c r="E14" s="38" t="n"/>
      <c r="F14" s="809" t="n"/>
      <c r="G14" s="810" t="n"/>
      <c r="H14" s="811" t="n"/>
      <c r="I14" s="811" t="n"/>
      <c r="Q14" s="38" t="n"/>
      <c r="R14" s="38" t="n"/>
      <c r="S14" s="809" t="n"/>
      <c r="T14" s="810" t="n"/>
      <c r="U14" s="811" t="n"/>
      <c r="V14" s="811" t="n"/>
      <c r="W14" s="159" t="n"/>
      <c r="X14" s="159" t="n"/>
      <c r="Y14" s="185" t="n"/>
      <c r="Z14" s="159" t="n"/>
    </row>
    <row r="15" ht="21" customFormat="1" customHeight="1" s="158" thickBot="1">
      <c r="A15" s="186" t="n"/>
      <c r="B15" s="110" t="n"/>
      <c r="C15" s="153" t="n"/>
      <c r="D15" s="167" t="n"/>
      <c r="E15" s="168" t="n"/>
      <c r="F15" s="809" t="n"/>
      <c r="G15" s="812" t="n"/>
      <c r="H15" s="813" t="n"/>
      <c r="I15" s="814" t="n"/>
      <c r="Q15" s="167" t="n"/>
      <c r="R15" s="168" t="n"/>
      <c r="S15" s="809" t="n"/>
      <c r="T15" s="812" t="n"/>
      <c r="U15" s="813" t="n"/>
      <c r="V15" s="814" t="n"/>
      <c r="W15" s="159" t="n"/>
      <c r="X15" s="159" t="n"/>
      <c r="Y15" s="185" t="n"/>
      <c r="Z15" s="159" t="n"/>
    </row>
    <row r="16" ht="21" customFormat="1" customHeight="1" s="158">
      <c r="A16" s="186" t="n"/>
      <c r="B16" s="815" t="inlineStr">
        <is>
          <t>자체관리</t>
        </is>
      </c>
      <c r="C16" s="816" t="n"/>
      <c r="D16" s="816" t="n"/>
      <c r="E16" s="817" t="n"/>
      <c r="F16" s="107" t="n"/>
      <c r="G16" s="818" t="n"/>
      <c r="H16" s="815" t="inlineStr">
        <is>
          <t>관리위탁</t>
        </is>
      </c>
      <c r="I16" s="816" t="n"/>
      <c r="J16" s="816" t="n"/>
      <c r="K16" s="817" t="n"/>
      <c r="O16" s="815" t="inlineStr">
        <is>
          <t>자체점검</t>
        </is>
      </c>
      <c r="P16" s="816" t="n"/>
      <c r="Q16" s="816" t="n"/>
      <c r="R16" s="817" t="n"/>
      <c r="S16" s="159" t="n"/>
      <c r="T16" s="159" t="n"/>
      <c r="U16" s="815" t="inlineStr">
        <is>
          <t>점검대행</t>
        </is>
      </c>
      <c r="V16" s="816" t="n"/>
      <c r="W16" s="816" t="n"/>
      <c r="X16" s="817" t="n"/>
      <c r="Y16" s="185" t="n"/>
      <c r="Z16" s="159" t="n"/>
    </row>
    <row r="17" ht="21" customFormat="1" customHeight="1" s="158">
      <c r="A17" s="186" t="n"/>
      <c r="B17" s="819" t="inlineStr">
        <is>
          <t>유지보수 관리자
선임</t>
        </is>
      </c>
      <c r="E17" s="659" t="n"/>
      <c r="F17" s="38" t="n"/>
      <c r="G17" s="38" t="n"/>
      <c r="H17" s="819" t="inlineStr">
        <is>
          <t>공사업자</t>
        </is>
      </c>
      <c r="K17" s="659" t="n"/>
      <c r="O17" s="820" t="inlineStr">
        <is>
          <t>선임기준에
적합하게 고용</t>
        </is>
      </c>
      <c r="R17" s="659" t="n"/>
      <c r="S17" s="159" t="n"/>
      <c r="T17" s="159" t="n"/>
      <c r="U17" s="819" t="inlineStr">
        <is>
          <t>공사업자
또는
용역업자</t>
        </is>
      </c>
      <c r="X17" s="659" t="n"/>
      <c r="Y17" s="185" t="n"/>
      <c r="Z17" s="159" t="n"/>
    </row>
    <row r="18" ht="21" customFormat="1" customHeight="1" s="158" thickBot="1">
      <c r="A18" s="184" t="n"/>
      <c r="B18" s="795" t="n"/>
      <c r="C18" s="796" t="n"/>
      <c r="D18" s="796" t="n"/>
      <c r="E18" s="797" t="n"/>
      <c r="F18" s="153" t="n"/>
      <c r="G18" s="811" t="n"/>
      <c r="H18" s="795" t="n"/>
      <c r="I18" s="796" t="n"/>
      <c r="J18" s="796" t="n"/>
      <c r="K18" s="797" t="n"/>
      <c r="O18" s="802" t="n"/>
      <c r="R18" s="659" t="n"/>
      <c r="S18" s="159" t="n"/>
      <c r="T18" s="159" t="n"/>
      <c r="U18" s="802" t="n"/>
      <c r="X18" s="659" t="n"/>
      <c r="Y18" s="185" t="n"/>
      <c r="Z18" s="159" t="n"/>
    </row>
    <row r="19" ht="24" customFormat="1" customHeight="1" s="158" thickBot="1">
      <c r="A19" s="181" t="n"/>
      <c r="B19" s="633" t="n"/>
      <c r="C19" s="633" t="n"/>
      <c r="D19" s="174" t="n"/>
      <c r="E19" s="633" t="n"/>
      <c r="F19" s="633" t="n"/>
      <c r="G19" s="633" t="n"/>
      <c r="H19" s="633" t="n"/>
      <c r="J19" s="175" t="n"/>
      <c r="O19" s="819" t="inlineStr">
        <is>
          <t>(정보통신공사업법 시행규칙 별표)</t>
        </is>
      </c>
      <c r="R19" s="659" t="n"/>
      <c r="S19" s="159" t="n"/>
      <c r="T19" s="159" t="n"/>
      <c r="U19" s="802" t="n"/>
      <c r="X19" s="659" t="n"/>
      <c r="Y19" s="185" t="n"/>
      <c r="Z19" s="159" t="n"/>
    </row>
    <row r="20" ht="21" customFormat="1" customHeight="1" s="158" thickBot="1">
      <c r="A20" s="116" t="n"/>
      <c r="B20" s="821" t="inlineStr">
        <is>
          <t>지자체에 선,해임 신고</t>
        </is>
      </c>
      <c r="C20" s="793" t="n"/>
      <c r="D20" s="793" t="n"/>
      <c r="E20" s="793" t="n"/>
      <c r="F20" s="793" t="n"/>
      <c r="G20" s="793" t="n"/>
      <c r="H20" s="793" t="n"/>
      <c r="I20" s="793" t="n"/>
      <c r="J20" s="793" t="n"/>
      <c r="K20" s="794" t="n"/>
      <c r="O20" s="795" t="n"/>
      <c r="P20" s="796" t="n"/>
      <c r="Q20" s="796" t="n"/>
      <c r="R20" s="797" t="n"/>
      <c r="U20" s="795" t="n"/>
      <c r="V20" s="796" t="n"/>
      <c r="W20" s="796" t="n"/>
      <c r="X20" s="797" t="n"/>
      <c r="Y20" s="182" t="n"/>
    </row>
    <row r="21" ht="21" customFormat="1" customHeight="1" s="158" thickBot="1">
      <c r="A21" s="109" t="n"/>
      <c r="B21" s="795" t="n"/>
      <c r="C21" s="796" t="n"/>
      <c r="D21" s="796" t="n"/>
      <c r="E21" s="796" t="n"/>
      <c r="F21" s="796" t="n"/>
      <c r="G21" s="796" t="n"/>
      <c r="H21" s="796" t="n"/>
      <c r="I21" s="796" t="n"/>
      <c r="J21" s="796" t="n"/>
      <c r="K21" s="797" t="n"/>
      <c r="Q21" s="177" t="n"/>
      <c r="W21" s="177" t="n"/>
      <c r="Y21" s="182" t="n"/>
    </row>
    <row r="22" ht="21" customFormat="1" customHeight="1" s="158">
      <c r="A22" s="187" t="n"/>
      <c r="B22" s="595" t="n"/>
      <c r="C22" s="595" t="n"/>
      <c r="D22" s="595" t="n"/>
      <c r="E22" s="595" t="n"/>
      <c r="F22" s="595" t="n"/>
      <c r="G22" s="176" t="n"/>
      <c r="H22" s="595" t="n"/>
      <c r="I22" s="595" t="n"/>
      <c r="Q22" s="178" t="n"/>
      <c r="W22" s="178" t="n"/>
      <c r="Y22" s="182" t="n"/>
    </row>
    <row r="23" ht="21" customFormat="1" customHeight="1" s="158" thickBot="1">
      <c r="A23" s="187" t="n"/>
      <c r="B23" s="595" t="n"/>
      <c r="C23" s="595" t="n"/>
      <c r="D23" s="595" t="n"/>
      <c r="E23" s="595" t="n"/>
      <c r="F23" s="595" t="n"/>
      <c r="G23" s="597" t="n"/>
      <c r="H23" s="595" t="n"/>
      <c r="I23" s="595" t="n"/>
      <c r="Q23" s="179" t="n"/>
      <c r="W23" s="179" t="n"/>
      <c r="Y23" s="182" t="n"/>
    </row>
    <row r="24" ht="21" customFormat="1" customHeight="1" s="158">
      <c r="A24" s="187" t="n"/>
      <c r="B24" s="822" t="inlineStr">
        <is>
          <t>유지보수관리 및 성능점검 계획 수립
(최초 점검 실시전)</t>
        </is>
      </c>
      <c r="C24" s="793" t="n"/>
      <c r="D24" s="793" t="n"/>
      <c r="E24" s="793" t="n"/>
      <c r="F24" s="793" t="n"/>
      <c r="G24" s="793" t="n"/>
      <c r="H24" s="793" t="n"/>
      <c r="I24" s="793" t="n"/>
      <c r="J24" s="793" t="n"/>
      <c r="K24" s="794" t="n"/>
      <c r="O24" s="822" t="inlineStr">
        <is>
          <t>성능점검 계획 수립
(최초 점검 실시전)</t>
        </is>
      </c>
      <c r="P24" s="793" t="n"/>
      <c r="Q24" s="793" t="n"/>
      <c r="R24" s="793" t="n"/>
      <c r="S24" s="793" t="n"/>
      <c r="T24" s="793" t="n"/>
      <c r="U24" s="793" t="n"/>
      <c r="V24" s="793" t="n"/>
      <c r="W24" s="793" t="n"/>
      <c r="X24" s="794" t="n"/>
      <c r="Y24" s="182" t="n"/>
    </row>
    <row r="25" ht="21" customFormat="1" customHeight="1" s="158">
      <c r="A25" s="188" t="n"/>
      <c r="B25" s="802" t="n"/>
      <c r="K25" s="659" t="n"/>
      <c r="O25" s="802" t="n"/>
      <c r="X25" s="659" t="n"/>
      <c r="Y25" s="182" t="n"/>
    </row>
    <row r="26" ht="21" customFormat="1" customHeight="1" s="158" thickBot="1">
      <c r="A26" s="109" t="n"/>
      <c r="B26" s="808" t="inlineStr">
        <is>
          <t>(정보통신설비 유지보수관리기준 제7조)</t>
        </is>
      </c>
      <c r="C26" s="796" t="n"/>
      <c r="D26" s="796" t="n"/>
      <c r="E26" s="796" t="n"/>
      <c r="F26" s="796" t="n"/>
      <c r="G26" s="796" t="n"/>
      <c r="H26" s="796" t="n"/>
      <c r="I26" s="796" t="n"/>
      <c r="J26" s="796" t="n"/>
      <c r="K26" s="797" t="n"/>
      <c r="O26" s="808" t="inlineStr">
        <is>
          <t>(정보통신설비 유지보수관리기준 제7조)</t>
        </is>
      </c>
      <c r="P26" s="796" t="n"/>
      <c r="Q26" s="796" t="n"/>
      <c r="R26" s="796" t="n"/>
      <c r="S26" s="796" t="n"/>
      <c r="T26" s="796" t="n"/>
      <c r="U26" s="796" t="n"/>
      <c r="V26" s="796" t="n"/>
      <c r="W26" s="796" t="n"/>
      <c r="X26" s="797" t="n"/>
      <c r="Y26" s="182" t="n"/>
    </row>
    <row r="27" ht="12" customFormat="1" customHeight="1" s="158">
      <c r="A27" s="116" t="n"/>
      <c r="B27" s="107" t="n"/>
      <c r="C27" s="107" t="n"/>
      <c r="D27" s="107" t="n"/>
      <c r="E27" s="107" t="n"/>
      <c r="F27" s="107" t="n"/>
      <c r="G27" s="176" t="n"/>
      <c r="H27" s="595" t="n"/>
      <c r="I27" s="107" t="n"/>
      <c r="T27" s="177" t="n"/>
      <c r="Y27" s="182" t="n"/>
    </row>
    <row r="28" ht="12.75" customFormat="1" customHeight="1" s="158" thickBot="1">
      <c r="A28" s="116" t="n"/>
      <c r="B28" s="107" t="n"/>
      <c r="C28" s="107" t="n"/>
      <c r="D28" s="107" t="n"/>
      <c r="E28" s="160" t="n"/>
      <c r="F28" s="160" t="n"/>
      <c r="G28" s="611" t="n"/>
      <c r="H28" s="823" t="n"/>
      <c r="I28" s="160" t="n"/>
      <c r="T28" s="179" t="n"/>
      <c r="Y28" s="182" t="n"/>
    </row>
    <row r="29" ht="12" customFormat="1" customHeight="1" s="158">
      <c r="A29" s="116" t="n"/>
      <c r="B29" s="822" t="inlineStr">
        <is>
          <t>정보통신설비 유지보수관리 실시
반기별 1회 이상 기록</t>
        </is>
      </c>
      <c r="C29" s="793" t="n"/>
      <c r="D29" s="793" t="n"/>
      <c r="E29" s="793" t="n"/>
      <c r="F29" s="793" t="n"/>
      <c r="G29" s="793" t="n"/>
      <c r="H29" s="793" t="n"/>
      <c r="I29" s="793" t="n"/>
      <c r="J29" s="793" t="n"/>
      <c r="K29" s="794" t="n"/>
      <c r="O29" s="822" t="inlineStr">
        <is>
          <t>정보통신설비 성능점검 실시(매년 1회 이상)</t>
        </is>
      </c>
      <c r="P29" s="793" t="n"/>
      <c r="Q29" s="793" t="n"/>
      <c r="R29" s="793" t="n"/>
      <c r="S29" s="793" t="n"/>
      <c r="T29" s="793" t="n"/>
      <c r="U29" s="793" t="n"/>
      <c r="V29" s="793" t="n"/>
      <c r="W29" s="793" t="n"/>
      <c r="X29" s="794" t="n"/>
      <c r="Y29" s="182" t="n"/>
    </row>
    <row r="30" ht="23.25" customFormat="1" customHeight="1" s="158" thickBot="1">
      <c r="A30" s="116" t="n"/>
      <c r="B30" s="802" t="n"/>
      <c r="K30" s="659" t="n"/>
      <c r="O30" s="808" t="inlineStr">
        <is>
          <t>(정보통신설비 유지보수관리기준 제10조 제1항)</t>
        </is>
      </c>
      <c r="P30" s="796" t="n"/>
      <c r="Q30" s="796" t="n"/>
      <c r="R30" s="796" t="n"/>
      <c r="S30" s="796" t="n"/>
      <c r="T30" s="796" t="n"/>
      <c r="U30" s="796" t="n"/>
      <c r="V30" s="796" t="n"/>
      <c r="W30" s="796" t="n"/>
      <c r="X30" s="797" t="n"/>
      <c r="Y30" s="182" t="n"/>
    </row>
    <row r="31" ht="12.75" customFormat="1" customHeight="1" s="158" thickBot="1">
      <c r="A31" s="116" t="n"/>
      <c r="B31" s="808" t="inlineStr">
        <is>
          <t>(정보통신설비 유지보수관리기준 제8조)</t>
        </is>
      </c>
      <c r="C31" s="796" t="n"/>
      <c r="D31" s="796" t="n"/>
      <c r="E31" s="796" t="n"/>
      <c r="F31" s="796" t="n"/>
      <c r="G31" s="796" t="n"/>
      <c r="H31" s="796" t="n"/>
      <c r="I31" s="796" t="n"/>
      <c r="J31" s="796" t="n"/>
      <c r="K31" s="797" t="n"/>
      <c r="O31" s="38" t="n"/>
      <c r="P31" s="38" t="n"/>
      <c r="Q31" s="38" t="n"/>
      <c r="R31" s="38" t="n"/>
      <c r="S31" s="38" t="n"/>
      <c r="T31" s="167" t="n"/>
      <c r="U31" s="38" t="n"/>
      <c r="V31" s="38" t="n"/>
      <c r="W31" s="38" t="n"/>
      <c r="X31" s="38" t="n"/>
      <c r="Y31" s="182" t="n"/>
    </row>
    <row r="32" ht="12.75" customFormat="1" customHeight="1" s="158" thickBot="1">
      <c r="A32" s="116" t="n"/>
      <c r="B32" s="195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T32" s="179" t="n"/>
      <c r="Y32" s="182" t="n"/>
    </row>
    <row r="33" ht="12" customFormat="1" customHeight="1" s="158">
      <c r="A33" s="116" t="n"/>
      <c r="B33" s="107" t="n"/>
      <c r="C33" s="107" t="n"/>
      <c r="D33" s="107" t="n"/>
      <c r="E33" s="107" t="n"/>
      <c r="F33" s="107" t="n"/>
      <c r="G33" s="107" t="n"/>
      <c r="H33" s="107" t="n"/>
      <c r="I33" s="107" t="n"/>
      <c r="O33" s="822" t="inlineStr">
        <is>
          <t>정보통신설비 성능점검표 기록 및 보존</t>
        </is>
      </c>
      <c r="P33" s="793" t="n"/>
      <c r="Q33" s="793" t="n"/>
      <c r="R33" s="793" t="n"/>
      <c r="S33" s="793" t="n"/>
      <c r="T33" s="793" t="n"/>
      <c r="U33" s="793" t="n"/>
      <c r="V33" s="793" t="n"/>
      <c r="W33" s="793" t="n"/>
      <c r="X33" s="794" t="n"/>
      <c r="Y33" s="182" t="n"/>
    </row>
    <row r="34" ht="21" customFormat="1" customHeight="1" s="158" thickBot="1">
      <c r="A34" s="116" t="n"/>
      <c r="B34" s="107" t="n"/>
      <c r="C34" s="107" t="n"/>
      <c r="D34" s="107" t="n"/>
      <c r="E34" s="107" t="n"/>
      <c r="F34" s="107" t="n"/>
      <c r="G34" s="107" t="n"/>
      <c r="H34" s="107" t="n"/>
      <c r="I34" s="107" t="n"/>
      <c r="O34" s="808" t="inlineStr">
        <is>
          <t>(정보통신설비 유지보수관리기준 제10조 제4항)</t>
        </is>
      </c>
      <c r="P34" s="796" t="n"/>
      <c r="Q34" s="796" t="n"/>
      <c r="R34" s="796" t="n"/>
      <c r="S34" s="796" t="n"/>
      <c r="T34" s="796" t="n"/>
      <c r="U34" s="796" t="n"/>
      <c r="V34" s="796" t="n"/>
      <c r="W34" s="796" t="n"/>
      <c r="X34" s="797" t="n"/>
      <c r="Y34" s="182" t="n"/>
    </row>
    <row r="35" ht="34.5" customFormat="1" customHeight="1" s="158">
      <c r="A35" s="189" t="n"/>
      <c r="T35" s="177" t="n"/>
      <c r="Y35" s="182" t="n"/>
    </row>
    <row r="36" ht="21" customFormat="1" customHeight="1" s="36" thickBot="1">
      <c r="A36" s="190" t="n"/>
      <c r="T36" s="180" t="n"/>
      <c r="Y36" s="191" t="n"/>
    </row>
    <row r="37" ht="21" customFormat="1" customHeight="1" s="36">
      <c r="A37" s="190" t="n"/>
      <c r="O37" s="822" t="inlineStr">
        <is>
          <t>성능점검표 제출 요청 시 제출</t>
        </is>
      </c>
      <c r="P37" s="793" t="n"/>
      <c r="Q37" s="793" t="n"/>
      <c r="R37" s="793" t="n"/>
      <c r="S37" s="793" t="n"/>
      <c r="T37" s="793" t="n"/>
      <c r="U37" s="793" t="n"/>
      <c r="V37" s="793" t="n"/>
      <c r="W37" s="793" t="n"/>
      <c r="X37" s="794" t="n"/>
      <c r="Y37" s="191" t="n"/>
    </row>
    <row r="38" ht="21" customFormat="1" customHeight="1" s="36" thickBot="1">
      <c r="A38" s="190" t="n"/>
      <c r="O38" s="808" t="inlineStr">
        <is>
          <t>(정보통신설비 유지보수관리기준 제10조 제5항)</t>
        </is>
      </c>
      <c r="P38" s="796" t="n"/>
      <c r="Q38" s="796" t="n"/>
      <c r="R38" s="796" t="n"/>
      <c r="S38" s="796" t="n"/>
      <c r="T38" s="796" t="n"/>
      <c r="U38" s="796" t="n"/>
      <c r="V38" s="796" t="n"/>
      <c r="W38" s="796" t="n"/>
      <c r="X38" s="797" t="n"/>
      <c r="Y38" s="191" t="n"/>
    </row>
    <row r="39" ht="15" customFormat="1" customHeight="1" s="36">
      <c r="A39" s="190" t="n"/>
      <c r="O39" s="194" t="inlineStr">
        <is>
          <t>※ 시·군·구청장 요청시</t>
        </is>
      </c>
      <c r="P39" s="193" t="n"/>
      <c r="Q39" s="193" t="n"/>
      <c r="R39" s="193" t="n"/>
      <c r="S39" s="193" t="n"/>
      <c r="T39" s="193" t="n"/>
      <c r="U39" s="193" t="n"/>
      <c r="V39" s="193" t="n"/>
      <c r="W39" s="193" t="n"/>
      <c r="X39" s="193" t="n"/>
      <c r="Y39" s="191" t="n"/>
    </row>
    <row r="40" ht="26.25" customHeight="1" thickBot="1">
      <c r="A40" s="121" t="n"/>
      <c r="B40" s="122" t="n"/>
      <c r="C40" s="122" t="n"/>
      <c r="D40" s="122" t="n"/>
      <c r="E40" s="122" t="n"/>
      <c r="F40" s="122" t="n"/>
      <c r="G40" s="122" t="n"/>
      <c r="H40" s="122" t="n"/>
      <c r="I40" s="122" t="n"/>
      <c r="J40" s="122" t="n"/>
      <c r="K40" s="122" t="n"/>
      <c r="L40" s="122" t="n"/>
      <c r="M40" s="122" t="n"/>
      <c r="N40" s="122" t="n"/>
      <c r="O40" s="192" t="n"/>
      <c r="P40" s="122" t="n"/>
      <c r="Q40" s="122" t="n"/>
      <c r="R40" s="122" t="n"/>
      <c r="S40" s="122" t="n"/>
      <c r="T40" s="122" t="n"/>
      <c r="U40" s="122" t="n"/>
      <c r="V40" s="122" t="n"/>
      <c r="W40" s="122" t="n"/>
      <c r="X40" s="122" t="n"/>
      <c r="Y40" s="123" t="n"/>
    </row>
  </sheetData>
  <mergeCells count="30">
    <mergeCell ref="O12:X12"/>
    <mergeCell ref="B17:E18"/>
    <mergeCell ref="O24:X25"/>
    <mergeCell ref="O4:X5"/>
    <mergeCell ref="O38:X38"/>
    <mergeCell ref="B29:K30"/>
    <mergeCell ref="B26:K26"/>
    <mergeCell ref="O37:X37"/>
    <mergeCell ref="O13:X13"/>
    <mergeCell ref="H17:K18"/>
    <mergeCell ref="U17:X20"/>
    <mergeCell ref="B16:E16"/>
    <mergeCell ref="O34:X34"/>
    <mergeCell ref="O33:X33"/>
    <mergeCell ref="B31:K31"/>
    <mergeCell ref="B24:K25"/>
    <mergeCell ref="O30:X30"/>
    <mergeCell ref="A1:Y1"/>
    <mergeCell ref="O17:R18"/>
    <mergeCell ref="B12:K12"/>
    <mergeCell ref="O29:X29"/>
    <mergeCell ref="B20:K21"/>
    <mergeCell ref="U16:X16"/>
    <mergeCell ref="O19:R20"/>
    <mergeCell ref="O26:X26"/>
    <mergeCell ref="B4:K5"/>
    <mergeCell ref="B13:K13"/>
    <mergeCell ref="O16:R16"/>
    <mergeCell ref="G7:S9"/>
    <mergeCell ref="H16:K16"/>
  </mergeCells>
  <printOptions horizontalCentered="1"/>
  <pageMargins left="0.2" right="0.2" top="0.7874015748031497" bottom="0.3937007874015748" header="0.3149606299212598" footer="0.4724409448818898"/>
  <pageSetup orientation="portrait" paperSize="9" scale="86" fitToHeight="0" fitToWidth="1"/>
</worksheet>
</file>

<file path=xl/worksheets/sheet8.xml><?xml version="1.0" encoding="utf-8"?>
<worksheet xmlns="http://schemas.openxmlformats.org/spreadsheetml/2006/main">
  <sheetPr>
    <tabColor theme="8"/>
    <outlinePr summaryBelow="1" summaryRight="1"/>
    <pageSetUpPr fitToPage="1"/>
  </sheetPr>
  <dimension ref="B1:G20"/>
  <sheetViews>
    <sheetView workbookViewId="0">
      <selection activeCell="K19" sqref="K19"/>
    </sheetView>
  </sheetViews>
  <sheetFormatPr baseColWidth="8" defaultColWidth="8.88671875" defaultRowHeight="24.95" customHeight="1"/>
  <cols>
    <col width="8.88671875" customWidth="1" style="206" min="1" max="1"/>
    <col width="11.88671875" customWidth="1" style="206" min="2" max="7"/>
    <col width="8.88671875" customWidth="1" style="206" min="8" max="16384"/>
  </cols>
  <sheetData>
    <row r="1" ht="24.95" customHeight="1">
      <c r="B1" s="207" t="inlineStr">
        <is>
          <t>▣ 미사강변오벨리스크 정보통신설비 유지보수관리 견적내역</t>
        </is>
      </c>
      <c r="C1" s="207" t="n"/>
    </row>
    <row r="2" ht="24.95" customHeight="1">
      <c r="B2" s="636" t="inlineStr">
        <is>
          <t>구분</t>
        </is>
      </c>
      <c r="C2" s="824" t="n"/>
      <c r="D2" s="636" t="inlineStr">
        <is>
          <t>한경이엔지</t>
        </is>
      </c>
      <c r="E2" s="636" t="inlineStr">
        <is>
          <t>나인정보기술</t>
        </is>
      </c>
      <c r="F2" s="636" t="inlineStr">
        <is>
          <t>우경정보통신</t>
        </is>
      </c>
      <c r="G2" s="636" t="inlineStr">
        <is>
          <t>비고</t>
        </is>
      </c>
    </row>
    <row r="3" ht="24.95" customHeight="1">
      <c r="B3" s="636" t="inlineStr">
        <is>
          <t>견적금액</t>
        </is>
      </c>
      <c r="C3" s="636" t="inlineStr">
        <is>
          <t>월</t>
        </is>
      </c>
      <c r="D3" s="825" t="n">
        <v>1300000</v>
      </c>
      <c r="E3" s="825" t="n">
        <v>1200000</v>
      </c>
      <c r="F3" s="825" t="n">
        <v>900000</v>
      </c>
      <c r="G3" s="826" t="inlineStr">
        <is>
          <t>부가세별도</t>
        </is>
      </c>
    </row>
    <row r="4" ht="24.95" customHeight="1">
      <c r="B4" s="827" t="n"/>
      <c r="C4" s="636" t="inlineStr">
        <is>
          <t>년간</t>
        </is>
      </c>
      <c r="D4" s="828">
        <f>D3*12</f>
        <v/>
      </c>
      <c r="E4" s="828">
        <f>E3*12</f>
        <v/>
      </c>
      <c r="F4" s="828">
        <f>F3*12</f>
        <v/>
      </c>
      <c r="G4" s="827" t="n"/>
    </row>
    <row r="5" ht="24.95" customHeight="1">
      <c r="B5" s="210" t="n"/>
      <c r="C5" s="210" t="n"/>
    </row>
    <row r="6" ht="24.95" customHeight="1">
      <c r="B6" s="210" t="n"/>
      <c r="C6" s="210" t="n"/>
    </row>
    <row r="7" ht="24.95" customHeight="1" thickBot="1">
      <c r="B7" s="207" t="inlineStr">
        <is>
          <t>▣ 효성해링턴더퍼스트 정보통신설비 유지보수관리 견적내역</t>
        </is>
      </c>
      <c r="C7" s="207" t="n"/>
    </row>
    <row r="8" ht="24.95" customHeight="1">
      <c r="B8" s="636" t="inlineStr">
        <is>
          <t>구분</t>
        </is>
      </c>
      <c r="C8" s="824" t="n"/>
      <c r="D8" s="636" t="inlineStr">
        <is>
          <t>한경이엔지</t>
        </is>
      </c>
      <c r="E8" s="212" t="inlineStr">
        <is>
          <t>나인정보기술</t>
        </is>
      </c>
      <c r="F8" s="216" t="inlineStr">
        <is>
          <t>우경정보통신</t>
        </is>
      </c>
      <c r="G8" s="215" t="inlineStr">
        <is>
          <t>비고</t>
        </is>
      </c>
    </row>
    <row r="9" ht="24.95" customHeight="1">
      <c r="B9" s="636" t="inlineStr">
        <is>
          <t>견적금액</t>
        </is>
      </c>
      <c r="C9" s="636" t="inlineStr">
        <is>
          <t>월</t>
        </is>
      </c>
      <c r="D9" s="825" t="n">
        <v>1350000</v>
      </c>
      <c r="E9" s="829" t="n">
        <v>1250000</v>
      </c>
      <c r="F9" s="830" t="n">
        <v>900000</v>
      </c>
      <c r="G9" s="831" t="inlineStr">
        <is>
          <t>부가세별도</t>
        </is>
      </c>
    </row>
    <row r="10" ht="24.95" customHeight="1" thickBot="1">
      <c r="B10" s="827" t="n"/>
      <c r="C10" s="636" t="inlineStr">
        <is>
          <t>년간</t>
        </is>
      </c>
      <c r="D10" s="828">
        <f>D9*12</f>
        <v/>
      </c>
      <c r="E10" s="832">
        <f>E9*12</f>
        <v/>
      </c>
      <c r="F10" s="833">
        <f>F9*12</f>
        <v/>
      </c>
      <c r="G10" s="834" t="n"/>
    </row>
    <row r="12" ht="24.95" customHeight="1" thickBot="1">
      <c r="B12" s="207" t="inlineStr">
        <is>
          <t>▣ 동탄레이크원 정보통신설비 유지보수관리 견적내역</t>
        </is>
      </c>
      <c r="C12" s="207" t="n"/>
    </row>
    <row r="13" ht="24.95" customHeight="1">
      <c r="B13" s="636" t="inlineStr">
        <is>
          <t>구분</t>
        </is>
      </c>
      <c r="C13" s="824" t="n"/>
      <c r="D13" s="636" t="inlineStr">
        <is>
          <t>한경이엔지</t>
        </is>
      </c>
      <c r="E13" s="212" t="inlineStr">
        <is>
          <t>나인정보기술</t>
        </is>
      </c>
      <c r="F13" s="216" t="inlineStr">
        <is>
          <t>우경정보통신</t>
        </is>
      </c>
      <c r="G13" s="215" t="inlineStr">
        <is>
          <t>비고</t>
        </is>
      </c>
    </row>
    <row r="14" ht="24.95" customHeight="1">
      <c r="B14" s="636" t="inlineStr">
        <is>
          <t>견적금액</t>
        </is>
      </c>
      <c r="C14" s="636" t="inlineStr">
        <is>
          <t>월</t>
        </is>
      </c>
      <c r="D14" s="825" t="n">
        <v>900000</v>
      </c>
      <c r="E14" s="829" t="n">
        <v>850000</v>
      </c>
      <c r="F14" s="830" t="n">
        <v>750000</v>
      </c>
      <c r="G14" s="831" t="inlineStr">
        <is>
          <t>부가세별도</t>
        </is>
      </c>
    </row>
    <row r="15" ht="24.95" customHeight="1" thickBot="1">
      <c r="B15" s="827" t="n"/>
      <c r="C15" s="636" t="inlineStr">
        <is>
          <t>년간</t>
        </is>
      </c>
      <c r="D15" s="828">
        <f>D14*12</f>
        <v/>
      </c>
      <c r="E15" s="832">
        <f>E14*12</f>
        <v/>
      </c>
      <c r="F15" s="833">
        <f>F14*12</f>
        <v/>
      </c>
      <c r="G15" s="834" t="n"/>
    </row>
    <row r="17" ht="24.95" customHeight="1" thickBot="1">
      <c r="B17" s="207" t="inlineStr">
        <is>
          <t>▣ 동작 협성휴포레시그니처 정보통신설비 유지보수관리 견적내역</t>
        </is>
      </c>
      <c r="C17" s="207" t="n"/>
    </row>
    <row r="18" ht="24.95" customHeight="1">
      <c r="B18" s="636" t="inlineStr">
        <is>
          <t>구분</t>
        </is>
      </c>
      <c r="C18" s="824" t="n"/>
      <c r="D18" s="636" t="inlineStr">
        <is>
          <t>한경이엔지</t>
        </is>
      </c>
      <c r="E18" s="212" t="inlineStr">
        <is>
          <t>나인정보기술</t>
        </is>
      </c>
      <c r="F18" s="216" t="inlineStr">
        <is>
          <t>우경정보통신</t>
        </is>
      </c>
      <c r="G18" s="215" t="inlineStr">
        <is>
          <t>비고</t>
        </is>
      </c>
    </row>
    <row r="19" ht="24.95" customHeight="1">
      <c r="B19" s="636" t="inlineStr">
        <is>
          <t>견적금액</t>
        </is>
      </c>
      <c r="C19" s="636" t="inlineStr">
        <is>
          <t>월</t>
        </is>
      </c>
      <c r="D19" s="825" t="n">
        <v>900000</v>
      </c>
      <c r="E19" s="829" t="n">
        <v>800000</v>
      </c>
      <c r="F19" s="830" t="n">
        <v>650000</v>
      </c>
      <c r="G19" s="831" t="inlineStr">
        <is>
          <t>부가세별도</t>
        </is>
      </c>
    </row>
    <row r="20" ht="24.95" customHeight="1" thickBot="1">
      <c r="B20" s="827" t="n"/>
      <c r="C20" s="636" t="inlineStr">
        <is>
          <t>년간</t>
        </is>
      </c>
      <c r="D20" s="828">
        <f>D19*12</f>
        <v/>
      </c>
      <c r="E20" s="832">
        <f>E19*12</f>
        <v/>
      </c>
      <c r="F20" s="833">
        <f>F19*12</f>
        <v/>
      </c>
      <c r="G20" s="834" t="n"/>
    </row>
  </sheetData>
  <mergeCells count="12">
    <mergeCell ref="B13:C13"/>
    <mergeCell ref="B8:C8"/>
    <mergeCell ref="B9:B10"/>
    <mergeCell ref="G9:G10"/>
    <mergeCell ref="B2:C2"/>
    <mergeCell ref="B3:B4"/>
    <mergeCell ref="G3:G4"/>
    <mergeCell ref="B18:C18"/>
    <mergeCell ref="G19:G20"/>
    <mergeCell ref="B19:B20"/>
    <mergeCell ref="B14:B15"/>
    <mergeCell ref="G14:G15"/>
  </mergeCells>
  <pageMargins left="0.2" right="0.2" top="0.75" bottom="0.75" header="0.3" footer="0.3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zoomScale="130" zoomScaleNormal="130" workbookViewId="0">
      <selection activeCell="D3" sqref="D3:G9"/>
    </sheetView>
  </sheetViews>
  <sheetFormatPr baseColWidth="8" defaultColWidth="8.88671875" defaultRowHeight="20.1" customHeight="1"/>
  <cols>
    <col width="8.88671875" customWidth="1" style="77" min="1" max="1"/>
    <col width="24.109375" bestFit="1" customWidth="1" style="77" min="2" max="2"/>
    <col width="35.44140625" bestFit="1" customWidth="1" style="77" min="3" max="3"/>
    <col width="9.88671875" bestFit="1" customWidth="1" style="77" min="4" max="4"/>
    <col width="12.44140625" bestFit="1" customWidth="1" style="835" min="5" max="5"/>
    <col width="8.88671875" customWidth="1" style="77" min="6" max="6"/>
    <col width="14.109375" bestFit="1" customWidth="1" style="836" min="7" max="7"/>
    <col width="10.77734375" bestFit="1" customWidth="1" style="77" min="8" max="8"/>
    <col width="8.88671875" customWidth="1" style="77" min="9" max="16384"/>
  </cols>
  <sheetData>
    <row r="1" ht="20.1" customHeight="1">
      <c r="A1" s="76" t="inlineStr">
        <is>
          <t>SK실트론 정보통신설비 유지보수관리 대상처 및 견적 내역</t>
        </is>
      </c>
    </row>
    <row r="2" ht="20.1" customHeight="1">
      <c r="A2" s="77" t="inlineStr">
        <is>
          <t>NO</t>
        </is>
      </c>
      <c r="B2" s="77" t="inlineStr">
        <is>
          <t>대상처명</t>
        </is>
      </c>
      <c r="C2" s="77" t="inlineStr">
        <is>
          <t>주소</t>
        </is>
      </c>
      <c r="D2" s="77" t="inlineStr">
        <is>
          <t>건축물 용도</t>
        </is>
      </c>
      <c r="E2" s="835" t="inlineStr">
        <is>
          <t>연면적[㎡]</t>
        </is>
      </c>
      <c r="F2" s="77" t="inlineStr">
        <is>
          <t>등급</t>
        </is>
      </c>
      <c r="G2" s="836" t="inlineStr">
        <is>
          <t>사용승인일</t>
        </is>
      </c>
      <c r="H2" s="77" t="inlineStr">
        <is>
          <t>견적금액</t>
        </is>
      </c>
    </row>
    <row r="3" ht="20.1" customHeight="1">
      <c r="A3" s="77" t="n">
        <v>1</v>
      </c>
      <c r="B3" s="77" t="inlineStr">
        <is>
          <t>LS전선 동해공장</t>
        </is>
      </c>
      <c r="C3" s="77" t="inlineStr">
        <is>
          <t>강원도 동해시 대동로 215</t>
        </is>
      </c>
      <c r="D3" s="77" t="inlineStr">
        <is>
          <t>공장</t>
        </is>
      </c>
      <c r="E3" s="835" t="n">
        <v>77578.88</v>
      </c>
      <c r="F3" s="77" t="inlineStr">
        <is>
          <t>특급</t>
        </is>
      </c>
      <c r="G3" s="836" t="n">
        <v>39974</v>
      </c>
      <c r="H3" s="837" t="n">
        <v>10800000</v>
      </c>
    </row>
    <row r="4" ht="20.1" customHeight="1">
      <c r="A4" s="77" t="n">
        <v>2</v>
      </c>
      <c r="B4" s="77" t="inlineStr">
        <is>
          <t>LS전선 구미공장</t>
        </is>
      </c>
      <c r="C4" s="77" t="inlineStr">
        <is>
          <t>경상북도 구미시 수출대로 228</t>
        </is>
      </c>
      <c r="D4" s="77" t="inlineStr">
        <is>
          <t>공장</t>
        </is>
      </c>
      <c r="E4" s="835" t="n">
        <v>159958.14</v>
      </c>
      <c r="F4" s="77" t="inlineStr">
        <is>
          <t>특급</t>
        </is>
      </c>
      <c r="H4" s="837" t="n">
        <v>15000000</v>
      </c>
    </row>
    <row r="5" ht="20.1" customHeight="1">
      <c r="A5" s="77" t="n">
        <v>3</v>
      </c>
      <c r="B5" s="77" t="inlineStr">
        <is>
          <t>LS전선 안동공장</t>
        </is>
      </c>
      <c r="C5" s="77" t="inlineStr">
        <is>
          <t>경상북도 구미시 3공단2로 238</t>
        </is>
      </c>
      <c r="D5" s="77" t="inlineStr">
        <is>
          <t>공장</t>
        </is>
      </c>
      <c r="E5" s="835" t="n">
        <v>70545.10000000001</v>
      </c>
      <c r="F5" s="77" t="inlineStr">
        <is>
          <t>특급</t>
        </is>
      </c>
      <c r="H5" s="837" t="n">
        <v>10800000</v>
      </c>
    </row>
    <row r="6" ht="20.1" customHeight="1">
      <c r="A6" s="77" t="n">
        <v>4</v>
      </c>
      <c r="B6" s="77" t="inlineStr">
        <is>
          <t>LS전선 군포연구소</t>
        </is>
      </c>
      <c r="C6" s="77" t="inlineStr">
        <is>
          <t>경기도 군포시 공단로 140번길 27</t>
        </is>
      </c>
      <c r="D6" s="77" t="inlineStr">
        <is>
          <t>공장</t>
        </is>
      </c>
      <c r="E6" s="835" t="n">
        <v>30771.77</v>
      </c>
      <c r="F6" s="77" t="inlineStr">
        <is>
          <t>고급</t>
        </is>
      </c>
      <c r="G6" s="836" t="n">
        <v>44589</v>
      </c>
      <c r="H6" s="837" t="n">
        <v>4200000</v>
      </c>
    </row>
    <row r="7" ht="20.1" customHeight="1">
      <c r="A7" s="77" t="n">
        <v>5</v>
      </c>
      <c r="B7" s="77" t="inlineStr">
        <is>
          <t>SK온 서산공장</t>
        </is>
      </c>
      <c r="C7" s="77" t="inlineStr">
        <is>
          <t>충청남도 서산시 무장산업로 59-122</t>
        </is>
      </c>
      <c r="D7" s="77" t="inlineStr">
        <is>
          <t>공장</t>
        </is>
      </c>
      <c r="E7" s="835" t="n">
        <v>143763.76</v>
      </c>
      <c r="F7" s="77" t="inlineStr">
        <is>
          <t>특급</t>
        </is>
      </c>
      <c r="H7" s="837" t="n">
        <v>15000000</v>
      </c>
    </row>
    <row r="8" ht="20.1" customHeight="1">
      <c r="A8" s="77" t="n">
        <v>6</v>
      </c>
      <c r="B8" s="77" t="inlineStr">
        <is>
          <t>SK온 본사</t>
        </is>
      </c>
      <c r="C8" s="77" t="inlineStr">
        <is>
          <t>서울특별시 종로구 인사동7길 32</t>
        </is>
      </c>
      <c r="D8" s="77" t="inlineStr">
        <is>
          <t>공장</t>
        </is>
      </c>
      <c r="E8" s="835" t="n">
        <v>33408.77</v>
      </c>
      <c r="F8" s="77" t="inlineStr">
        <is>
          <t>고급</t>
        </is>
      </c>
      <c r="G8" s="836" t="n">
        <v>31665</v>
      </c>
      <c r="H8" s="837" t="n">
        <v>4200000</v>
      </c>
    </row>
    <row r="9" ht="20.1" customHeight="1">
      <c r="A9" s="77" t="n">
        <v>7</v>
      </c>
      <c r="B9" s="77" t="inlineStr">
        <is>
          <t>SK바이오사이언스 안동공장</t>
        </is>
      </c>
      <c r="C9" s="77" t="inlineStr">
        <is>
          <t>경상북도 안동시 풍산읍 산업단지길 150</t>
        </is>
      </c>
      <c r="D9" s="77" t="inlineStr">
        <is>
          <t>공장</t>
        </is>
      </c>
      <c r="E9" s="835" t="n">
        <v>33039.16</v>
      </c>
      <c r="F9" s="77" t="inlineStr">
        <is>
          <t>고급</t>
        </is>
      </c>
      <c r="G9" s="836" t="n">
        <v>41271</v>
      </c>
      <c r="H9" s="837" t="n">
        <v>7800000</v>
      </c>
    </row>
  </sheetData>
  <pageMargins left="0.2" right="0.2" top="0.75" bottom="0.75" header="0.3" footer="0.3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A9"/>
  <sheetViews>
    <sheetView zoomScale="130" zoomScaleNormal="130" workbookViewId="0">
      <selection activeCell="G13" sqref="G13"/>
    </sheetView>
  </sheetViews>
  <sheetFormatPr baseColWidth="8" defaultColWidth="8.88671875" defaultRowHeight="20.1" customHeight="1"/>
  <cols>
    <col width="8.88671875" customWidth="1" style="641" min="1" max="1"/>
    <col width="18.77734375" bestFit="1" customWidth="1" style="641" min="2" max="2"/>
    <col width="36.5546875" bestFit="1" customWidth="1" style="641" min="3" max="3"/>
    <col width="8.88671875" customWidth="1" style="838" min="4" max="4"/>
    <col width="8.88671875" customWidth="1" style="641" min="5" max="5"/>
    <col width="11.21875" bestFit="1" customWidth="1" style="838" min="6" max="6"/>
    <col width="9.109375" bestFit="1" customWidth="1" style="838" min="7" max="7"/>
    <col width="8.88671875" customWidth="1" style="641" min="8" max="16384"/>
  </cols>
  <sheetData>
    <row r="1" ht="20.1" customHeight="1">
      <c r="A1" s="641" t="inlineStr">
        <is>
          <t>순분</t>
        </is>
      </c>
      <c r="B1" s="641" t="inlineStr">
        <is>
          <t>대상처명</t>
        </is>
      </c>
      <c r="C1" s="641" t="inlineStr">
        <is>
          <t>주소</t>
        </is>
      </c>
      <c r="D1" s="838" t="inlineStr">
        <is>
          <t>연면적</t>
        </is>
      </c>
      <c r="E1" s="641" t="inlineStr">
        <is>
          <t>등급</t>
        </is>
      </c>
      <c r="F1" s="838" t="inlineStr">
        <is>
          <t>견적금액</t>
        </is>
      </c>
      <c r="G1" s="838" t="inlineStr">
        <is>
          <t>월 분납금액</t>
        </is>
      </c>
    </row>
    <row r="2" ht="20.1" customHeight="1">
      <c r="A2" s="641" t="n">
        <v>1</v>
      </c>
      <c r="B2" s="238" t="inlineStr">
        <is>
          <t>군산1공장</t>
        </is>
      </c>
      <c r="C2" s="238" t="inlineStr">
        <is>
          <t>전북 군산시 외항로 82</t>
        </is>
      </c>
      <c r="D2" s="839" t="n">
        <v>163451.9</v>
      </c>
      <c r="E2" s="235" t="inlineStr">
        <is>
          <t>특급</t>
        </is>
      </c>
      <c r="F2" s="839">
        <f>G2*12</f>
        <v/>
      </c>
      <c r="G2" s="839" t="n">
        <v>1500000</v>
      </c>
      <c r="H2" s="235" t="n"/>
      <c r="I2" s="839" t="n"/>
      <c r="J2" s="235" t="n"/>
      <c r="K2" s="235" t="n"/>
      <c r="L2" s="235" t="n"/>
      <c r="M2" s="235" t="n"/>
      <c r="N2" s="235" t="n"/>
      <c r="O2" s="839" t="n"/>
      <c r="P2" s="839" t="n"/>
      <c r="Q2" s="235" t="n"/>
      <c r="R2" s="235" t="n"/>
      <c r="S2" s="235" t="n"/>
      <c r="T2" s="235" t="n"/>
      <c r="U2" s="235" t="n"/>
      <c r="V2" s="235" t="n"/>
      <c r="W2" s="235" t="n"/>
      <c r="X2" s="235" t="n"/>
      <c r="Y2" s="235" t="n"/>
      <c r="Z2" s="235" t="n"/>
      <c r="AA2" s="235" t="n"/>
    </row>
    <row r="3" ht="20.1" customHeight="1">
      <c r="A3" s="641" t="n">
        <v>2</v>
      </c>
      <c r="B3" s="238" t="inlineStr">
        <is>
          <t>군산2공장</t>
        </is>
      </c>
      <c r="C3" s="238" t="inlineStr">
        <is>
          <t>전북 군산시 임해로 423</t>
        </is>
      </c>
      <c r="D3" s="839" t="n">
        <v>31580.2</v>
      </c>
      <c r="E3" s="235" t="inlineStr">
        <is>
          <t>고급</t>
        </is>
      </c>
      <c r="F3" s="839">
        <f>G3*12</f>
        <v/>
      </c>
      <c r="G3" s="839" t="n">
        <v>800000</v>
      </c>
      <c r="H3" s="235" t="n"/>
      <c r="I3" s="839" t="n"/>
      <c r="J3" s="235" t="n"/>
      <c r="K3" s="235" t="n"/>
      <c r="L3" s="235" t="n"/>
      <c r="M3" s="235" t="n"/>
      <c r="N3" s="235" t="n"/>
      <c r="O3" s="839" t="n"/>
      <c r="P3" s="839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</row>
    <row r="4" ht="20.1" customHeight="1">
      <c r="A4" s="641" t="n">
        <v>3</v>
      </c>
      <c r="B4" s="238" t="inlineStr">
        <is>
          <t>포항공장</t>
        </is>
      </c>
      <c r="C4" s="238" t="inlineStr">
        <is>
          <t>경북 포항시 남구 청림서길 54</t>
        </is>
      </c>
      <c r="D4" s="839" t="n">
        <v>66924.89999999999</v>
      </c>
      <c r="E4" s="235" t="inlineStr">
        <is>
          <t>특급</t>
        </is>
      </c>
      <c r="F4" s="839">
        <f>G4*12</f>
        <v/>
      </c>
      <c r="G4" s="839" t="n">
        <v>1250000</v>
      </c>
      <c r="H4" s="235" t="n"/>
      <c r="I4" s="839" t="n"/>
      <c r="J4" s="235" t="n"/>
      <c r="K4" s="235" t="n"/>
      <c r="L4" s="235" t="n"/>
      <c r="M4" s="235" t="n"/>
      <c r="N4" s="235" t="n"/>
      <c r="O4" s="839" t="n"/>
      <c r="P4" s="839" t="n"/>
      <c r="Q4" s="235" t="n"/>
      <c r="R4" s="235" t="n"/>
      <c r="S4" s="235" t="n"/>
      <c r="T4" s="235" t="n"/>
      <c r="U4" s="235" t="n"/>
      <c r="V4" s="235" t="n"/>
      <c r="W4" s="235" t="n"/>
      <c r="X4" s="235" t="n"/>
      <c r="Y4" s="235" t="n"/>
      <c r="Z4" s="235" t="n"/>
      <c r="AA4" s="235" t="n"/>
    </row>
    <row r="5" ht="20.1" customHeight="1">
      <c r="A5" s="641" t="n">
        <v>4</v>
      </c>
      <c r="B5" s="238" t="inlineStr">
        <is>
          <t>괴동공장</t>
        </is>
      </c>
      <c r="C5" s="238" t="inlineStr">
        <is>
          <t>경북 포항시 남구 대송로101번길 66</t>
        </is>
      </c>
      <c r="D5" s="839" t="n">
        <v>5591.3</v>
      </c>
      <c r="E5" s="235" t="inlineStr">
        <is>
          <t>초급</t>
        </is>
      </c>
      <c r="F5" s="839">
        <f>G5*12</f>
        <v/>
      </c>
      <c r="G5" s="839" t="n">
        <v>400000</v>
      </c>
      <c r="H5" s="235" t="n"/>
      <c r="I5" s="839" t="n"/>
      <c r="J5" s="235" t="n"/>
      <c r="K5" s="235" t="n"/>
      <c r="L5" s="235" t="n"/>
      <c r="M5" s="235" t="n"/>
      <c r="N5" s="235" t="n"/>
      <c r="O5" s="839" t="n"/>
      <c r="P5" s="839" t="n"/>
      <c r="Q5" s="235" t="n"/>
      <c r="R5" s="235" t="n"/>
      <c r="S5" s="235" t="n"/>
      <c r="T5" s="235" t="n"/>
      <c r="U5" s="235" t="n"/>
      <c r="V5" s="235" t="n"/>
      <c r="W5" s="235" t="n"/>
      <c r="X5" s="235" t="n"/>
      <c r="Y5" s="235" t="n"/>
      <c r="Z5" s="235" t="n"/>
      <c r="AA5" s="235" t="n"/>
    </row>
    <row r="6" ht="20.1" customHeight="1">
      <c r="A6" s="641" t="n">
        <v>5</v>
      </c>
      <c r="B6" s="238" t="inlineStr">
        <is>
          <t>광양공장</t>
        </is>
      </c>
      <c r="C6" s="238" t="inlineStr">
        <is>
          <t>전남 광양시 산업로 109</t>
        </is>
      </c>
      <c r="D6" s="838" t="n">
        <v>34188.9</v>
      </c>
      <c r="E6" s="641" t="inlineStr">
        <is>
          <t>고급</t>
        </is>
      </c>
      <c r="F6" s="839">
        <f>G6*12</f>
        <v/>
      </c>
      <c r="G6" s="838" t="n">
        <v>800000</v>
      </c>
    </row>
    <row r="7" ht="20.1" customHeight="1">
      <c r="A7" s="641" t="n">
        <v>6</v>
      </c>
      <c r="B7" s="238" t="inlineStr">
        <is>
          <t>익산공장</t>
        </is>
      </c>
      <c r="C7" s="238" t="inlineStr">
        <is>
          <t>전북 익산시 보석로4길 107</t>
        </is>
      </c>
      <c r="D7" s="838" t="n">
        <v>25854.5</v>
      </c>
      <c r="E7" s="641" t="inlineStr">
        <is>
          <t>중급</t>
        </is>
      </c>
      <c r="F7" s="839">
        <f>G7*12</f>
        <v/>
      </c>
      <c r="G7" s="838" t="n">
        <v>600000</v>
      </c>
    </row>
    <row r="8" ht="20.1" customHeight="1">
      <c r="A8" s="641" t="n">
        <v>7</v>
      </c>
      <c r="B8" s="238" t="inlineStr">
        <is>
          <t>오씨아이 중앙연구소</t>
        </is>
      </c>
      <c r="C8" s="238" t="inlineStr">
        <is>
          <t>경기 성남시 중원구 사기막골로62번길 61</t>
        </is>
      </c>
      <c r="D8" s="838" t="n">
        <v>17379.2</v>
      </c>
      <c r="E8" s="641" t="inlineStr">
        <is>
          <t>중급</t>
        </is>
      </c>
      <c r="F8" s="839">
        <f>G8*12</f>
        <v/>
      </c>
      <c r="G8" s="838" t="n">
        <v>500000</v>
      </c>
    </row>
    <row r="9" ht="20.1" customHeight="1">
      <c r="A9" s="641" t="n"/>
      <c r="F9" s="838">
        <f>SUM(F2:F8)</f>
        <v/>
      </c>
    </row>
  </sheetData>
  <mergeCells count="1">
    <mergeCell ref="A9:E9"/>
  </mergeCells>
  <pageMargins left="0.2" right="0.2" top="0.75" bottom="0.75" header="0.3" footer="0.3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N23"/>
  <sheetViews>
    <sheetView showGridLines="0" zoomScaleNormal="100" zoomScaleSheetLayoutView="100" workbookViewId="0">
      <selection activeCell="E26" sqref="E26"/>
    </sheetView>
  </sheetViews>
  <sheetFormatPr baseColWidth="8" defaultRowHeight="13.5"/>
  <cols>
    <col width="21.21875" bestFit="1" customWidth="1" min="1" max="1"/>
    <col width="8.33203125" bestFit="1" customWidth="1" min="2" max="2"/>
    <col width="4.88671875" bestFit="1" customWidth="1" min="3" max="3"/>
    <col width="8.33203125" bestFit="1" customWidth="1" min="4" max="4"/>
    <col width="9.5546875" bestFit="1" customWidth="1" min="5" max="5"/>
    <col width="8.33203125" bestFit="1" customWidth="1" min="6" max="6"/>
    <col width="9.5546875" bestFit="1" customWidth="1" min="7" max="7"/>
    <col width="8.33203125" bestFit="1" customWidth="1" min="8" max="8"/>
    <col width="9.5546875" bestFit="1" customWidth="1" min="9" max="10"/>
    <col width="8.21875" bestFit="1" customWidth="1" min="11" max="12"/>
  </cols>
  <sheetData>
    <row r="1" ht="17.25" customFormat="1" customHeight="1" s="266" thickBot="1">
      <c r="A1" s="263" t="inlineStr">
        <is>
          <t>▣ 정보통신 견적 조건표_기본견적</t>
        </is>
      </c>
      <c r="B1" s="840" t="n"/>
      <c r="C1" s="265" t="n"/>
      <c r="D1" s="265" t="n"/>
      <c r="E1" s="265" t="n"/>
      <c r="F1" s="265" t="n"/>
      <c r="G1" s="265" t="n"/>
      <c r="H1" s="840" t="n"/>
      <c r="I1" s="840" t="n"/>
      <c r="J1" s="840" t="n"/>
      <c r="K1" s="840" t="n"/>
      <c r="L1" s="840" t="n"/>
    </row>
    <row r="2" ht="22.5" customFormat="1" customHeight="1" s="254">
      <c r="A2" s="644" t="inlineStr">
        <is>
          <t>연면적(㎡)</t>
        </is>
      </c>
      <c r="B2" s="646" t="inlineStr">
        <is>
          <t>하한값</t>
        </is>
      </c>
      <c r="C2" s="648" t="inlineStr">
        <is>
          <t>등급</t>
        </is>
      </c>
      <c r="D2" s="644" t="inlineStr">
        <is>
          <t>통합 견적금액</t>
        </is>
      </c>
      <c r="E2" s="841" t="n"/>
      <c r="F2" s="651" t="inlineStr">
        <is>
          <t>선임위탁 비용</t>
        </is>
      </c>
      <c r="G2" s="841" t="n"/>
      <c r="H2" s="652" t="inlineStr">
        <is>
          <t>유지, 성능 점검 합계</t>
        </is>
      </c>
      <c r="I2" s="816" t="n"/>
      <c r="J2" s="841" t="n"/>
      <c r="K2" s="642" t="inlineStr">
        <is>
          <t>성능점검
인력</t>
        </is>
      </c>
      <c r="L2" s="642" t="inlineStr">
        <is>
          <t>유지점검
인력</t>
        </is>
      </c>
    </row>
    <row r="3" ht="22.5" customFormat="1" customHeight="1" s="254" thickBot="1">
      <c r="A3" s="842" t="n"/>
      <c r="B3" s="843" t="n"/>
      <c r="C3" s="844" t="n"/>
      <c r="D3" s="645" t="inlineStr">
        <is>
          <t>월</t>
        </is>
      </c>
      <c r="E3" s="257" t="inlineStr">
        <is>
          <t>년간</t>
        </is>
      </c>
      <c r="F3" s="258" t="inlineStr">
        <is>
          <t>월</t>
        </is>
      </c>
      <c r="G3" s="649" t="inlineStr">
        <is>
          <t>년간</t>
        </is>
      </c>
      <c r="H3" s="259" t="inlineStr">
        <is>
          <t>유지비용</t>
        </is>
      </c>
      <c r="I3" s="260" t="inlineStr">
        <is>
          <t>성능비용</t>
        </is>
      </c>
      <c r="J3" s="261" t="inlineStr">
        <is>
          <t>합계</t>
        </is>
      </c>
      <c r="K3" s="845" t="n"/>
      <c r="L3" s="845" t="n"/>
    </row>
    <row r="4" ht="22.5" customFormat="1" customHeight="1" s="254">
      <c r="A4" s="268" t="inlineStr">
        <is>
          <t>5,000이상 ~ 10,000미만</t>
        </is>
      </c>
      <c r="B4" s="846" t="n">
        <v>5000</v>
      </c>
      <c r="C4" s="270" t="inlineStr">
        <is>
          <t>초급</t>
        </is>
      </c>
      <c r="D4" s="847" t="n">
        <v>225000</v>
      </c>
      <c r="E4" s="848" t="n">
        <v>2700000</v>
      </c>
      <c r="F4" s="849" t="n">
        <v>80000</v>
      </c>
      <c r="G4" s="850">
        <f>F4*12</f>
        <v/>
      </c>
      <c r="H4" s="847">
        <f>E4*15%</f>
        <v/>
      </c>
      <c r="I4" s="851">
        <f>E4-G4-H4</f>
        <v/>
      </c>
      <c r="J4" s="852">
        <f>SUM(H4:I4)</f>
        <v/>
      </c>
      <c r="K4" s="853" t="n">
        <v>4</v>
      </c>
      <c r="L4" s="853" t="n">
        <v>4</v>
      </c>
    </row>
    <row r="5" ht="22.5" customFormat="1" customHeight="1" s="254" thickBot="1">
      <c r="A5" s="278" t="inlineStr">
        <is>
          <t>10,000이상 ~ 15,000미만</t>
        </is>
      </c>
      <c r="B5" s="854" t="n">
        <v>10000</v>
      </c>
      <c r="C5" s="280" t="inlineStr">
        <is>
          <t>초급</t>
        </is>
      </c>
      <c r="D5" s="855" t="n">
        <v>225000</v>
      </c>
      <c r="E5" s="856">
        <f>D5*12</f>
        <v/>
      </c>
      <c r="F5" s="857" t="n">
        <v>80000</v>
      </c>
      <c r="G5" s="858">
        <f>F5*12</f>
        <v/>
      </c>
      <c r="H5" s="855">
        <f>E5*15%</f>
        <v/>
      </c>
      <c r="I5" s="859">
        <f>E5-G5-H5</f>
        <v/>
      </c>
      <c r="J5" s="860">
        <f>SUM(H5:I5)</f>
        <v/>
      </c>
      <c r="K5" s="861" t="n">
        <v>4</v>
      </c>
      <c r="L5" s="861" t="n">
        <v>4</v>
      </c>
    </row>
    <row r="6" ht="22.5" customFormat="1" customHeight="1" s="254" thickBot="1">
      <c r="A6" s="268" t="inlineStr">
        <is>
          <t>15,000이상 ~ 30,000미만</t>
        </is>
      </c>
      <c r="B6" s="846" t="n">
        <v>15000</v>
      </c>
      <c r="C6" s="270" t="inlineStr">
        <is>
          <t>중급</t>
        </is>
      </c>
      <c r="D6" s="847" t="n">
        <v>275000</v>
      </c>
      <c r="E6" s="848" t="n">
        <v>3300000</v>
      </c>
      <c r="F6" s="849" t="n">
        <v>130000</v>
      </c>
      <c r="G6" s="850">
        <f>F6*12</f>
        <v/>
      </c>
      <c r="H6" s="847">
        <f>E6*15%</f>
        <v/>
      </c>
      <c r="I6" s="851">
        <f>E6-G6-H6</f>
        <v/>
      </c>
      <c r="J6" s="852">
        <f>SUM(H6:I6)</f>
        <v/>
      </c>
      <c r="K6" s="853" t="n">
        <v>6</v>
      </c>
      <c r="L6" s="853" t="n">
        <v>6</v>
      </c>
    </row>
    <row r="7" ht="22.5" customFormat="1" customHeight="1" s="254" thickBot="1">
      <c r="A7" s="288" t="inlineStr">
        <is>
          <t>30,000이상 ~ 60,000미만</t>
        </is>
      </c>
      <c r="B7" s="862" t="n">
        <v>30000</v>
      </c>
      <c r="C7" s="290" t="inlineStr">
        <is>
          <t>고급</t>
        </is>
      </c>
      <c r="D7" s="863" t="n">
        <v>350000</v>
      </c>
      <c r="E7" s="864" t="n">
        <v>4200000</v>
      </c>
      <c r="F7" s="865" t="n">
        <v>150000</v>
      </c>
      <c r="G7" s="866">
        <f>F7*12</f>
        <v/>
      </c>
      <c r="H7" s="863">
        <f>E7*15%</f>
        <v/>
      </c>
      <c r="I7" s="867">
        <f>E7-G7-H7</f>
        <v/>
      </c>
      <c r="J7" s="868">
        <f>SUM(H7:I7)</f>
        <v/>
      </c>
      <c r="K7" s="869" t="n">
        <v>8</v>
      </c>
      <c r="L7" s="869" t="n">
        <v>8</v>
      </c>
    </row>
    <row r="8" ht="22.5" customFormat="1" customHeight="1" s="254">
      <c r="A8" s="298" t="inlineStr">
        <is>
          <t>60,000이상 ~ 150,000미만</t>
        </is>
      </c>
      <c r="B8" s="870" t="n">
        <v>60000</v>
      </c>
      <c r="C8" s="300" t="inlineStr">
        <is>
          <t>특급</t>
        </is>
      </c>
      <c r="D8" s="871" t="n">
        <v>450000</v>
      </c>
      <c r="E8" s="872" t="n">
        <v>5400000</v>
      </c>
      <c r="F8" s="873" t="n">
        <v>180000</v>
      </c>
      <c r="G8" s="874">
        <f>F8*12</f>
        <v/>
      </c>
      <c r="H8" s="871">
        <f>E8*15%</f>
        <v/>
      </c>
      <c r="I8" s="875">
        <f>E8-G8-H8</f>
        <v/>
      </c>
      <c r="J8" s="876">
        <f>SUM(H8:I8)</f>
        <v/>
      </c>
      <c r="K8" s="877" t="n">
        <v>10</v>
      </c>
      <c r="L8" s="877" t="n">
        <v>10</v>
      </c>
    </row>
    <row r="9" ht="22.5" customFormat="1" customHeight="1" s="254" thickBot="1">
      <c r="A9" s="278" t="inlineStr">
        <is>
          <t>150,000이상</t>
        </is>
      </c>
      <c r="B9" s="854" t="n">
        <v>150000</v>
      </c>
      <c r="C9" s="280" t="inlineStr">
        <is>
          <t>특급</t>
        </is>
      </c>
      <c r="D9" s="855" t="n">
        <v>450000</v>
      </c>
      <c r="E9" s="856" t="n">
        <v>5400000</v>
      </c>
      <c r="F9" s="857" t="n">
        <v>180000</v>
      </c>
      <c r="G9" s="858">
        <f>F9*12</f>
        <v/>
      </c>
      <c r="H9" s="855">
        <f>E9*15%</f>
        <v/>
      </c>
      <c r="I9" s="859">
        <f>E9-G9-H9</f>
        <v/>
      </c>
      <c r="J9" s="860">
        <f>SUM(H9:I9)</f>
        <v/>
      </c>
      <c r="K9" s="861" t="n">
        <v>10</v>
      </c>
      <c r="L9" s="861" t="n">
        <v>10</v>
      </c>
    </row>
    <row r="10" ht="14.25" customFormat="1" customHeight="1" s="254">
      <c r="N10" s="878" t="n"/>
    </row>
    <row r="11" ht="22.5" customFormat="1" customHeight="1" s="266" thickBot="1">
      <c r="A11" s="263" t="inlineStr">
        <is>
          <t>▣ 정보통신 견적 조건표_최저견적</t>
        </is>
      </c>
      <c r="B11" s="840" t="n"/>
      <c r="C11" s="265" t="n"/>
      <c r="D11" s="265" t="n"/>
      <c r="E11" s="265" t="n"/>
      <c r="F11" s="265" t="n"/>
      <c r="G11" s="265" t="n"/>
      <c r="H11" s="840" t="n"/>
      <c r="I11" s="840" t="n"/>
      <c r="J11" s="840" t="n"/>
      <c r="K11" s="840" t="n"/>
      <c r="L11" s="840" t="n"/>
      <c r="N11" s="879" t="n"/>
    </row>
    <row r="12" ht="22.5" customFormat="1" customHeight="1" s="254">
      <c r="A12" s="644" t="inlineStr">
        <is>
          <t>연면적(㎡)</t>
        </is>
      </c>
      <c r="B12" s="646" t="inlineStr">
        <is>
          <t>하한값</t>
        </is>
      </c>
      <c r="C12" s="648" t="inlineStr">
        <is>
          <t>등급</t>
        </is>
      </c>
      <c r="D12" s="644" t="inlineStr">
        <is>
          <t>통합 견적금액</t>
        </is>
      </c>
      <c r="E12" s="841" t="n"/>
      <c r="F12" s="651" t="inlineStr">
        <is>
          <t>선임위탁 비용</t>
        </is>
      </c>
      <c r="G12" s="841" t="n"/>
      <c r="H12" s="652" t="inlineStr">
        <is>
          <t>유지, 성능 점검 합계</t>
        </is>
      </c>
      <c r="I12" s="816" t="n"/>
      <c r="J12" s="841" t="n"/>
      <c r="K12" s="642" t="inlineStr">
        <is>
          <t>성능점검
인력</t>
        </is>
      </c>
      <c r="L12" s="642" t="inlineStr">
        <is>
          <t>유지점검
인력</t>
        </is>
      </c>
      <c r="N12" s="878" t="n"/>
    </row>
    <row r="13" ht="22.5" customFormat="1" customHeight="1" s="254" thickBot="1">
      <c r="A13" s="842" t="n"/>
      <c r="B13" s="843" t="n"/>
      <c r="C13" s="844" t="n"/>
      <c r="D13" s="645" t="inlineStr">
        <is>
          <t>월</t>
        </is>
      </c>
      <c r="E13" s="257" t="inlineStr">
        <is>
          <t>년간</t>
        </is>
      </c>
      <c r="F13" s="258" t="inlineStr">
        <is>
          <t>월</t>
        </is>
      </c>
      <c r="G13" s="649" t="inlineStr">
        <is>
          <t>년간</t>
        </is>
      </c>
      <c r="H13" s="259" t="inlineStr">
        <is>
          <t>유지비용</t>
        </is>
      </c>
      <c r="I13" s="260" t="inlineStr">
        <is>
          <t>성능비용</t>
        </is>
      </c>
      <c r="J13" s="261" t="inlineStr">
        <is>
          <t>합계</t>
        </is>
      </c>
      <c r="K13" s="845" t="n"/>
      <c r="L13" s="845" t="n"/>
      <c r="N13" s="878" t="n"/>
    </row>
    <row r="14" ht="22.5" customFormat="1" customHeight="1" s="254">
      <c r="A14" s="268" t="inlineStr">
        <is>
          <t>5,000이상 ~ 10,000미만</t>
        </is>
      </c>
      <c r="B14" s="846" t="n">
        <v>5000</v>
      </c>
      <c r="C14" s="270" t="inlineStr">
        <is>
          <t>초급</t>
        </is>
      </c>
      <c r="D14" s="847" t="n">
        <v>200000</v>
      </c>
      <c r="E14" s="848" t="n">
        <v>2400000</v>
      </c>
      <c r="F14" s="849" t="n">
        <v>80000</v>
      </c>
      <c r="G14" s="850">
        <f>F14*12</f>
        <v/>
      </c>
      <c r="H14" s="847">
        <f>E14*15%</f>
        <v/>
      </c>
      <c r="I14" s="851">
        <f>E14-G14-H14</f>
        <v/>
      </c>
      <c r="J14" s="852">
        <f>SUM(H14:I14)</f>
        <v/>
      </c>
      <c r="K14" s="853" t="n">
        <v>4</v>
      </c>
      <c r="L14" s="853" t="n">
        <v>4</v>
      </c>
      <c r="N14" s="878" t="n"/>
    </row>
    <row r="15" ht="22.5" customFormat="1" customHeight="1" s="254" thickBot="1">
      <c r="A15" s="278" t="inlineStr">
        <is>
          <t>10,000이상 ~ 15,000미만</t>
        </is>
      </c>
      <c r="B15" s="854" t="n">
        <v>10000</v>
      </c>
      <c r="C15" s="280" t="inlineStr">
        <is>
          <t>초급</t>
        </is>
      </c>
      <c r="D15" s="855" t="n">
        <v>200000</v>
      </c>
      <c r="E15" s="856" t="n">
        <v>2400000</v>
      </c>
      <c r="F15" s="857" t="n">
        <v>80000</v>
      </c>
      <c r="G15" s="858">
        <f>F15*12</f>
        <v/>
      </c>
      <c r="H15" s="855">
        <f>E15*15%</f>
        <v/>
      </c>
      <c r="I15" s="859">
        <f>E15-G15-H15</f>
        <v/>
      </c>
      <c r="J15" s="860">
        <f>SUM(H15:I15)</f>
        <v/>
      </c>
      <c r="K15" s="861" t="n">
        <v>4</v>
      </c>
      <c r="L15" s="861" t="n">
        <v>4</v>
      </c>
      <c r="N15" s="878" t="n"/>
    </row>
    <row r="16" ht="22.5" customFormat="1" customHeight="1" s="254" thickBot="1">
      <c r="A16" s="268" t="inlineStr">
        <is>
          <t>15,000이상 ~ 30,000미만</t>
        </is>
      </c>
      <c r="B16" s="846" t="n">
        <v>15000</v>
      </c>
      <c r="C16" s="270" t="inlineStr">
        <is>
          <t>중급</t>
        </is>
      </c>
      <c r="D16" s="847" t="n">
        <v>225000</v>
      </c>
      <c r="E16" s="848" t="n">
        <v>2700000</v>
      </c>
      <c r="F16" s="849" t="n">
        <v>130000</v>
      </c>
      <c r="G16" s="850">
        <f>F16*12</f>
        <v/>
      </c>
      <c r="H16" s="847">
        <f>E16*15%</f>
        <v/>
      </c>
      <c r="I16" s="851">
        <f>E16-G16-H16</f>
        <v/>
      </c>
      <c r="J16" s="852">
        <f>SUM(H16:I16)</f>
        <v/>
      </c>
      <c r="K16" s="853" t="n">
        <v>6</v>
      </c>
      <c r="L16" s="853" t="n">
        <v>6</v>
      </c>
    </row>
    <row r="17" ht="22.5" customFormat="1" customHeight="1" s="254" thickBot="1">
      <c r="A17" s="288" t="inlineStr">
        <is>
          <t>30,000이상 ~ 60,000미만</t>
        </is>
      </c>
      <c r="B17" s="862" t="n">
        <v>30000</v>
      </c>
      <c r="C17" s="290" t="inlineStr">
        <is>
          <t>고급</t>
        </is>
      </c>
      <c r="D17" s="863" t="n">
        <v>300000</v>
      </c>
      <c r="E17" s="864" t="n">
        <v>3600000</v>
      </c>
      <c r="F17" s="865" t="n">
        <v>150000</v>
      </c>
      <c r="G17" s="866">
        <f>F17*12</f>
        <v/>
      </c>
      <c r="H17" s="863">
        <f>E17*15%</f>
        <v/>
      </c>
      <c r="I17" s="867">
        <f>E17-G17-H17</f>
        <v/>
      </c>
      <c r="J17" s="868">
        <f>SUM(H17:I17)</f>
        <v/>
      </c>
      <c r="K17" s="869" t="n">
        <v>8</v>
      </c>
      <c r="L17" s="869" t="n">
        <v>8</v>
      </c>
    </row>
    <row r="18" ht="22.5" customFormat="1" customHeight="1" s="254">
      <c r="A18" s="298" t="inlineStr">
        <is>
          <t>60,000이상 ~ 150,000미만</t>
        </is>
      </c>
      <c r="B18" s="870" t="n">
        <v>60000</v>
      </c>
      <c r="C18" s="300" t="inlineStr">
        <is>
          <t>특급</t>
        </is>
      </c>
      <c r="D18" s="871" t="n">
        <v>400000</v>
      </c>
      <c r="E18" s="872" t="n">
        <v>4800000</v>
      </c>
      <c r="F18" s="873" t="n">
        <v>180000</v>
      </c>
      <c r="G18" s="874">
        <f>F18*12</f>
        <v/>
      </c>
      <c r="H18" s="871">
        <f>E18*15%</f>
        <v/>
      </c>
      <c r="I18" s="875">
        <f>E18-G18-H18</f>
        <v/>
      </c>
      <c r="J18" s="876">
        <f>SUM(H18:I18)</f>
        <v/>
      </c>
      <c r="K18" s="877" t="n">
        <v>10</v>
      </c>
      <c r="L18" s="877" t="n">
        <v>10</v>
      </c>
    </row>
    <row r="19" ht="22.5" customFormat="1" customHeight="1" s="254" thickBot="1">
      <c r="A19" s="278" t="inlineStr">
        <is>
          <t>150,000이상</t>
        </is>
      </c>
      <c r="B19" s="854" t="n">
        <v>150000</v>
      </c>
      <c r="C19" s="280" t="inlineStr">
        <is>
          <t>특급</t>
        </is>
      </c>
      <c r="D19" s="855" t="n">
        <v>400000</v>
      </c>
      <c r="E19" s="856" t="n">
        <v>4800000</v>
      </c>
      <c r="F19" s="857" t="n">
        <v>180000</v>
      </c>
      <c r="G19" s="858">
        <f>F19*12</f>
        <v/>
      </c>
      <c r="H19" s="855">
        <f>E19*15%</f>
        <v/>
      </c>
      <c r="I19" s="859">
        <f>E19-G19-H19</f>
        <v/>
      </c>
      <c r="J19" s="860">
        <f>SUM(H19:I19)</f>
        <v/>
      </c>
      <c r="K19" s="861" t="n">
        <v>10</v>
      </c>
      <c r="L19" s="861" t="n">
        <v>10</v>
      </c>
    </row>
    <row r="21" customFormat="1" s="309">
      <c r="A21" s="308" t="inlineStr">
        <is>
          <t>* 견적 작성 시 연면적 확인 필수</t>
        </is>
      </c>
    </row>
    <row r="22" customFormat="1" s="309">
      <c r="A22" s="310" t="inlineStr">
        <is>
          <t>* 서울, 수도권 외 지역은 사업부와 금액 확인 필요</t>
        </is>
      </c>
    </row>
    <row r="23" customFormat="1" s="309">
      <c r="A23" s="310" t="inlineStr">
        <is>
          <t>* 영업비 있는 경우 영업비 금액 반영하여 견적 산정 필요</t>
        </is>
      </c>
    </row>
  </sheetData>
  <mergeCells count="16">
    <mergeCell ref="F2:G2"/>
    <mergeCell ref="F12:G12"/>
    <mergeCell ref="D2:E2"/>
    <mergeCell ref="A12:A13"/>
    <mergeCell ref="B12:B13"/>
    <mergeCell ref="C2:C3"/>
    <mergeCell ref="C12:C13"/>
    <mergeCell ref="L12:L13"/>
    <mergeCell ref="K12:K13"/>
    <mergeCell ref="H12:J12"/>
    <mergeCell ref="A2:A3"/>
    <mergeCell ref="H2:J2"/>
    <mergeCell ref="B2:B3"/>
    <mergeCell ref="K2:K3"/>
    <mergeCell ref="D12:E12"/>
    <mergeCell ref="L2:L3"/>
  </mergeCells>
  <pageMargins left="0.2" right="0.2" top="0.75" bottom="0.75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G8" sqref="G8"/>
    </sheetView>
  </sheetViews>
  <sheetFormatPr baseColWidth="8" defaultRowHeight="16.5"/>
  <cols>
    <col width="8.88671875" customWidth="1" style="254" min="1" max="16384"/>
  </cols>
  <sheetData>
    <row r="1" customFormat="1" s="266">
      <c r="A1" s="312" t="inlineStr">
        <is>
          <t>★ 중요 ★ 계약 진행 시 확인사항</t>
        </is>
      </c>
      <c r="B1" s="313" t="n"/>
      <c r="C1" s="313" t="n"/>
      <c r="D1" s="313" t="n"/>
      <c r="E1" s="313" t="n"/>
      <c r="F1" s="313" t="n"/>
      <c r="G1" s="313" t="n"/>
      <c r="H1" s="314" t="n"/>
    </row>
    <row r="2" ht="23.25" customHeight="1">
      <c r="A2" s="315" t="inlineStr">
        <is>
          <t>1. 사업자등록증 받기_선임용, 세금계산서용 구분</t>
        </is>
      </c>
      <c r="H2" s="316" t="n"/>
    </row>
    <row r="3" ht="23.25" customHeight="1">
      <c r="A3" s="315" t="inlineStr">
        <is>
          <t>2. 건축물대장과 다를 경우 단지개요 받기</t>
        </is>
      </c>
      <c r="H3" s="316" t="n"/>
    </row>
    <row r="4" ht="23.25" customHeight="1">
      <c r="A4" s="315" t="inlineStr">
        <is>
          <t>3. 세금계산서 발행 정보 받기 _ 향후 계약서 상 명시 예정</t>
        </is>
      </c>
      <c r="H4" s="316" t="n"/>
    </row>
    <row r="5" ht="23.25" customHeight="1">
      <c r="A5" s="315" t="inlineStr">
        <is>
          <t xml:space="preserve">  (고객사 계약서 양식 사용 시 따로 받아둘것)</t>
        </is>
      </c>
      <c r="H5" s="316" t="n"/>
    </row>
    <row r="6" ht="23.25" customHeight="1">
      <c r="A6" s="315" t="inlineStr">
        <is>
          <t>4. 담당자 이름 / 전화번호 / 이메일주소 함께 전달 =&gt; 점검, 청구 문의 시 사용예정</t>
        </is>
      </c>
      <c r="H6" s="316" t="n"/>
    </row>
    <row r="7" ht="23.25" customHeight="1">
      <c r="A7" s="315" t="inlineStr">
        <is>
          <t>5. 계약서 상 계약일자 기입하기</t>
        </is>
      </c>
      <c r="H7" s="316" t="n"/>
    </row>
    <row r="8" ht="23.25" customHeight="1">
      <c r="A8" s="315" t="inlineStr">
        <is>
          <t>6. 선임신고 시 추가 보완서류 요청 가능</t>
        </is>
      </c>
      <c r="H8" s="316" t="n"/>
    </row>
    <row r="9" ht="23.25" customHeight="1">
      <c r="A9" s="317" t="inlineStr">
        <is>
          <t xml:space="preserve">  (신탁명부, 관리단 부재에 대한 공문, 등기부등본 등)</t>
        </is>
      </c>
      <c r="H9" s="316" t="n"/>
    </row>
    <row r="10" ht="17.25" customHeight="1" thickBot="1">
      <c r="A10" s="318" t="n"/>
      <c r="B10" s="319" t="n"/>
      <c r="C10" s="319" t="n"/>
      <c r="D10" s="319" t="n"/>
      <c r="E10" s="319" t="n"/>
      <c r="F10" s="319" t="n"/>
      <c r="G10" s="319" t="n"/>
      <c r="H10" s="320" t="n"/>
    </row>
    <row r="11">
      <c r="A11" s="311" t="n"/>
    </row>
  </sheetData>
  <pageMargins left="0.2" right="0.2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system</dc:creator>
  <dcterms:created xmlns:dcterms="http://purl.org/dc/terms/" xmlns:xsi="http://www.w3.org/2001/XMLSchema-instance" xsi:type="dcterms:W3CDTF">1999-08-28T01:02:59Z</dcterms:created>
  <dcterms:modified xmlns:dcterms="http://purl.org/dc/terms/" xmlns:xsi="http://www.w3.org/2001/XMLSchema-instance" xsi:type="dcterms:W3CDTF">2026-03-09T05:56:14Z</dcterms:modified>
  <cp:lastModifiedBy>Master</cp:lastModifiedBy>
  <cp:lastPrinted>2026-03-05T06:30:02Z</cp:lastPrinted>
</cp:coreProperties>
</file>